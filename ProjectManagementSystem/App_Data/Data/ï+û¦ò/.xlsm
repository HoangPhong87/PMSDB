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-kikuchi\Downloads\新しいフォルダー\"/>
    </mc:Choice>
  </mc:AlternateContent>
  <bookViews>
    <workbookView xWindow="0" yWindow="0" windowWidth="13785" windowHeight="3570"/>
  </bookViews>
  <sheets>
    <sheet name="2012年05月度" sheetId="1" r:id="rId1"/>
    <sheet name="説明書" sheetId="3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'2012年05月度'!$A$1:$BH$52</definedName>
    <definedName name="_xlnm.Print_Area" localSheetId="1">説明書!$A$1:$AF$52</definedName>
  </definedNames>
  <calcPr calcId="152511"/>
</workbook>
</file>

<file path=xl/calcChain.xml><?xml version="1.0" encoding="utf-8"?>
<calcChain xmlns="http://schemas.openxmlformats.org/spreadsheetml/2006/main">
  <c r="D40" i="1" l="1"/>
  <c r="B10" i="1" l="1"/>
  <c r="D10" i="1"/>
  <c r="BG40" i="3" l="1"/>
  <c r="BF40" i="3"/>
  <c r="BE40" i="3"/>
  <c r="BH40" i="3" s="1"/>
  <c r="BD40" i="3"/>
  <c r="BB40" i="3"/>
  <c r="BA40" i="3"/>
  <c r="BC40" i="3" s="1"/>
  <c r="T40" i="3"/>
  <c r="BG39" i="3"/>
  <c r="BF39" i="3"/>
  <c r="BE39" i="3"/>
  <c r="BD39" i="3"/>
  <c r="BH39" i="3" s="1"/>
  <c r="BB39" i="3"/>
  <c r="BA39" i="3"/>
  <c r="BC39" i="3" s="1"/>
  <c r="T39" i="3"/>
  <c r="BG38" i="3"/>
  <c r="BF38" i="3"/>
  <c r="BE38" i="3"/>
  <c r="BD38" i="3"/>
  <c r="BH38" i="3"/>
  <c r="BB38" i="3"/>
  <c r="BC38" i="3" s="1"/>
  <c r="BA38" i="3"/>
  <c r="T38" i="3"/>
  <c r="BG37" i="3"/>
  <c r="BF37" i="3"/>
  <c r="BE37" i="3"/>
  <c r="BD37" i="3"/>
  <c r="BH37" i="3"/>
  <c r="BB37" i="3"/>
  <c r="BA37" i="3"/>
  <c r="BC37" i="3"/>
  <c r="AM37" i="3"/>
  <c r="T37" i="3"/>
  <c r="BG36" i="3"/>
  <c r="BF36" i="3"/>
  <c r="BE36" i="3"/>
  <c r="BD36" i="3"/>
  <c r="BH36" i="3"/>
  <c r="BB36" i="3"/>
  <c r="BA36" i="3"/>
  <c r="BC36" i="3"/>
  <c r="AM36" i="3"/>
  <c r="N36" i="3" s="1"/>
  <c r="T36" i="3"/>
  <c r="BG35" i="3"/>
  <c r="BF35" i="3"/>
  <c r="BE35" i="3"/>
  <c r="BD35" i="3"/>
  <c r="BH35" i="3" s="1"/>
  <c r="BB35" i="3"/>
  <c r="BA35" i="3"/>
  <c r="BC35" i="3" s="1"/>
  <c r="AM35" i="3"/>
  <c r="M35" i="3"/>
  <c r="T35" i="3"/>
  <c r="N35" i="3"/>
  <c r="BG34" i="3"/>
  <c r="BF34" i="3"/>
  <c r="BE34" i="3"/>
  <c r="BD34" i="3"/>
  <c r="BB34" i="3"/>
  <c r="BA34" i="3"/>
  <c r="BC34" i="3"/>
  <c r="AM34" i="3"/>
  <c r="T34" i="3"/>
  <c r="N34" i="3"/>
  <c r="M34" i="3"/>
  <c r="R34" i="3" s="1"/>
  <c r="BG33" i="3"/>
  <c r="BF33" i="3"/>
  <c r="BE33" i="3"/>
  <c r="BH33" i="3" s="1"/>
  <c r="BD33" i="3"/>
  <c r="BB33" i="3"/>
  <c r="BA33" i="3"/>
  <c r="BC33" i="3" s="1"/>
  <c r="AM33" i="3"/>
  <c r="N33" i="3" s="1"/>
  <c r="M33" i="3"/>
  <c r="T33" i="3"/>
  <c r="BG32" i="3"/>
  <c r="BF32" i="3"/>
  <c r="BE32" i="3"/>
  <c r="BH32" i="3" s="1"/>
  <c r="BD32" i="3"/>
  <c r="BB32" i="3"/>
  <c r="BA32" i="3"/>
  <c r="BC32" i="3" s="1"/>
  <c r="AM32" i="3"/>
  <c r="M32" i="3" s="1"/>
  <c r="T32" i="3"/>
  <c r="N32" i="3"/>
  <c r="BG31" i="3"/>
  <c r="BF31" i="3"/>
  <c r="BH31" i="3" s="1"/>
  <c r="BE31" i="3"/>
  <c r="BD31" i="3"/>
  <c r="BB31" i="3"/>
  <c r="BC31" i="3" s="1"/>
  <c r="BA31" i="3"/>
  <c r="AM31" i="3"/>
  <c r="N31" i="3" s="1"/>
  <c r="M31" i="3"/>
  <c r="Q31" i="3" s="1"/>
  <c r="T31" i="3"/>
  <c r="BG30" i="3"/>
  <c r="BF30" i="3"/>
  <c r="BH30" i="3" s="1"/>
  <c r="BE30" i="3"/>
  <c r="BD30" i="3"/>
  <c r="BB30" i="3"/>
  <c r="BC30" i="3" s="1"/>
  <c r="BA30" i="3"/>
  <c r="AM30" i="3"/>
  <c r="T30" i="3"/>
  <c r="BG29" i="3"/>
  <c r="BF29" i="3"/>
  <c r="BE29" i="3"/>
  <c r="BD29" i="3"/>
  <c r="BH29" i="3"/>
  <c r="BB29" i="3"/>
  <c r="BA29" i="3"/>
  <c r="BC29" i="3"/>
  <c r="AM29" i="3"/>
  <c r="M29" i="3" s="1"/>
  <c r="T29" i="3"/>
  <c r="BG28" i="3"/>
  <c r="BF28" i="3"/>
  <c r="BE28" i="3"/>
  <c r="BD28" i="3"/>
  <c r="BH28" i="3"/>
  <c r="BB28" i="3"/>
  <c r="BA28" i="3"/>
  <c r="BC28" i="3"/>
  <c r="AM28" i="3"/>
  <c r="N28" i="3" s="1"/>
  <c r="T28" i="3"/>
  <c r="M28" i="3"/>
  <c r="BG27" i="3"/>
  <c r="BF27" i="3"/>
  <c r="BE27" i="3"/>
  <c r="BD27" i="3"/>
  <c r="BB27" i="3"/>
  <c r="BA27" i="3"/>
  <c r="BC27" i="3"/>
  <c r="AM27" i="3"/>
  <c r="M27" i="3"/>
  <c r="T27" i="3"/>
  <c r="N27" i="3"/>
  <c r="R27" i="3" s="1"/>
  <c r="BG26" i="3"/>
  <c r="BF26" i="3"/>
  <c r="BE26" i="3"/>
  <c r="BD26" i="3"/>
  <c r="BH26" i="3" s="1"/>
  <c r="BB26" i="3"/>
  <c r="BA26" i="3"/>
  <c r="BC26" i="3"/>
  <c r="AM26" i="3"/>
  <c r="T26" i="3"/>
  <c r="N26" i="3"/>
  <c r="M26" i="3"/>
  <c r="R26" i="3" s="1"/>
  <c r="BG25" i="3"/>
  <c r="BF25" i="3"/>
  <c r="BE25" i="3"/>
  <c r="BH25" i="3" s="1"/>
  <c r="BD25" i="3"/>
  <c r="BB25" i="3"/>
  <c r="BA25" i="3"/>
  <c r="AM25" i="3"/>
  <c r="N25" i="3" s="1"/>
  <c r="M25" i="3"/>
  <c r="T25" i="3"/>
  <c r="BG24" i="3"/>
  <c r="BF24" i="3"/>
  <c r="BE24" i="3"/>
  <c r="BH24" i="3" s="1"/>
  <c r="BD24" i="3"/>
  <c r="BB24" i="3"/>
  <c r="BA24" i="3"/>
  <c r="BC24" i="3" s="1"/>
  <c r="AM24" i="3"/>
  <c r="M24" i="3" s="1"/>
  <c r="T24" i="3"/>
  <c r="N24" i="3"/>
  <c r="BG23" i="3"/>
  <c r="BF23" i="3"/>
  <c r="BH23" i="3" s="1"/>
  <c r="BE23" i="3"/>
  <c r="BD23" i="3"/>
  <c r="BB23" i="3"/>
  <c r="BC23" i="3" s="1"/>
  <c r="BA23" i="3"/>
  <c r="AM23" i="3"/>
  <c r="N23" i="3" s="1"/>
  <c r="M23" i="3"/>
  <c r="Q23" i="3" s="1"/>
  <c r="T23" i="3"/>
  <c r="BG22" i="3"/>
  <c r="BF22" i="3"/>
  <c r="BE22" i="3"/>
  <c r="BD22" i="3"/>
  <c r="BH22" i="3"/>
  <c r="BB22" i="3"/>
  <c r="BC22" i="3" s="1"/>
  <c r="BA22" i="3"/>
  <c r="AM22" i="3"/>
  <c r="T22" i="3"/>
  <c r="BG21" i="3"/>
  <c r="BF21" i="3"/>
  <c r="BE21" i="3"/>
  <c r="BD21" i="3"/>
  <c r="BH21" i="3"/>
  <c r="BB21" i="3"/>
  <c r="BA21" i="3"/>
  <c r="BC21" i="3"/>
  <c r="AM21" i="3"/>
  <c r="N21" i="3" s="1"/>
  <c r="T21" i="3"/>
  <c r="M21" i="3"/>
  <c r="BG20" i="3"/>
  <c r="BF20" i="3"/>
  <c r="BE20" i="3"/>
  <c r="BD20" i="3"/>
  <c r="BB20" i="3"/>
  <c r="BA20" i="3"/>
  <c r="BC20" i="3"/>
  <c r="AM20" i="3"/>
  <c r="M20" i="3"/>
  <c r="T20" i="3"/>
  <c r="N20" i="3"/>
  <c r="BG19" i="3"/>
  <c r="BF19" i="3"/>
  <c r="BE19" i="3"/>
  <c r="BD19" i="3"/>
  <c r="BH19" i="3" s="1"/>
  <c r="BB19" i="3"/>
  <c r="BA19" i="3"/>
  <c r="BC19" i="3"/>
  <c r="AM19" i="3"/>
  <c r="T19" i="3"/>
  <c r="N19" i="3"/>
  <c r="M19" i="3"/>
  <c r="Q19" i="3" s="1"/>
  <c r="BG18" i="3"/>
  <c r="BF18" i="3"/>
  <c r="BE18" i="3"/>
  <c r="BH18" i="3" s="1"/>
  <c r="BD18" i="3"/>
  <c r="BB18" i="3"/>
  <c r="BA18" i="3"/>
  <c r="AM18" i="3"/>
  <c r="T18" i="3"/>
  <c r="BG17" i="3"/>
  <c r="BF17" i="3"/>
  <c r="BE17" i="3"/>
  <c r="BD17" i="3"/>
  <c r="BH17" i="3"/>
  <c r="BB17" i="3"/>
  <c r="BA17" i="3"/>
  <c r="BC17" i="3"/>
  <c r="AM17" i="3"/>
  <c r="T17" i="3"/>
  <c r="BG16" i="3"/>
  <c r="BF16" i="3"/>
  <c r="BE16" i="3"/>
  <c r="BH16" i="3" s="1"/>
  <c r="BD16" i="3"/>
  <c r="BB16" i="3"/>
  <c r="BA16" i="3"/>
  <c r="BC16" i="3" s="1"/>
  <c r="AM16" i="3"/>
  <c r="N16" i="3" s="1"/>
  <c r="Q16" i="3" s="1"/>
  <c r="M16" i="3"/>
  <c r="T16" i="3"/>
  <c r="BG15" i="3"/>
  <c r="BF15" i="3"/>
  <c r="BH15" i="3" s="1"/>
  <c r="BE15" i="3"/>
  <c r="BD15" i="3"/>
  <c r="BB15" i="3"/>
  <c r="BA15" i="3"/>
  <c r="BC15" i="3" s="1"/>
  <c r="AM15" i="3"/>
  <c r="T15" i="3"/>
  <c r="BG14" i="3"/>
  <c r="BF14" i="3"/>
  <c r="BE14" i="3"/>
  <c r="BD14" i="3"/>
  <c r="BH14" i="3"/>
  <c r="BB14" i="3"/>
  <c r="BC14" i="3" s="1"/>
  <c r="BA14" i="3"/>
  <c r="AM14" i="3"/>
  <c r="N14" i="3" s="1"/>
  <c r="M14" i="3"/>
  <c r="Q14" i="3" s="1"/>
  <c r="T14" i="3"/>
  <c r="BG13" i="3"/>
  <c r="BF13" i="3"/>
  <c r="BH13" i="3" s="1"/>
  <c r="BE13" i="3"/>
  <c r="BD13" i="3"/>
  <c r="BB13" i="3"/>
  <c r="BC13" i="3" s="1"/>
  <c r="BA13" i="3"/>
  <c r="AM13" i="3"/>
  <c r="T13" i="3"/>
  <c r="BG12" i="3"/>
  <c r="BF12" i="3"/>
  <c r="BE12" i="3"/>
  <c r="BD12" i="3"/>
  <c r="BB12" i="3"/>
  <c r="BA12" i="3"/>
  <c r="BC12" i="3"/>
  <c r="AM12" i="3"/>
  <c r="T12" i="3"/>
  <c r="BG11" i="3"/>
  <c r="BF11" i="3"/>
  <c r="BE11" i="3"/>
  <c r="BH11" i="3" s="1"/>
  <c r="BD11" i="3"/>
  <c r="BB11" i="3"/>
  <c r="BA11" i="3"/>
  <c r="AM11" i="3"/>
  <c r="T11" i="3"/>
  <c r="B10" i="3"/>
  <c r="AQ10" i="3" s="1"/>
  <c r="B11" i="3"/>
  <c r="AP11" i="3"/>
  <c r="BG10" i="3"/>
  <c r="BF10" i="3"/>
  <c r="BE10" i="3"/>
  <c r="BD10" i="3"/>
  <c r="BH10" i="3" s="1"/>
  <c r="BB10" i="3"/>
  <c r="BA10" i="3"/>
  <c r="BC10" i="3" s="1"/>
  <c r="AO10" i="3"/>
  <c r="AM10" i="3"/>
  <c r="X10" i="3" s="1"/>
  <c r="W10" i="3"/>
  <c r="T10" i="3"/>
  <c r="D10" i="3"/>
  <c r="AP10" i="3"/>
  <c r="AJ9" i="3"/>
  <c r="AD7" i="3" s="1"/>
  <c r="AJ8" i="3"/>
  <c r="AJ7" i="3"/>
  <c r="AJ6" i="3"/>
  <c r="AD4" i="3" s="1"/>
  <c r="AD6" i="3"/>
  <c r="AJ5" i="3"/>
  <c r="AD5" i="3"/>
  <c r="AL4" i="3"/>
  <c r="AJ4" i="3"/>
  <c r="AL3" i="3"/>
  <c r="Z4" i="3" s="1"/>
  <c r="AJ3" i="3"/>
  <c r="AD3" i="3"/>
  <c r="AL2" i="3"/>
  <c r="AJ2" i="3"/>
  <c r="Z5" i="3"/>
  <c r="BF11" i="1"/>
  <c r="BH11" i="1" s="1"/>
  <c r="BG11" i="1"/>
  <c r="BF12" i="1"/>
  <c r="BG12" i="1"/>
  <c r="BF13" i="1"/>
  <c r="BG13" i="1"/>
  <c r="BF14" i="1"/>
  <c r="BG14" i="1"/>
  <c r="BF15" i="1"/>
  <c r="BG15" i="1"/>
  <c r="BF16" i="1"/>
  <c r="BG16" i="1"/>
  <c r="BF17" i="1"/>
  <c r="BH17" i="1" s="1"/>
  <c r="BG17" i="1"/>
  <c r="BF18" i="1"/>
  <c r="BG18" i="1"/>
  <c r="BF19" i="1"/>
  <c r="BH19" i="1" s="1"/>
  <c r="BG19" i="1"/>
  <c r="BF20" i="1"/>
  <c r="BG20" i="1"/>
  <c r="BF21" i="1"/>
  <c r="BG21" i="1"/>
  <c r="BF22" i="1"/>
  <c r="BG22" i="1"/>
  <c r="BF23" i="1"/>
  <c r="BG23" i="1"/>
  <c r="BF24" i="1"/>
  <c r="BG24" i="1"/>
  <c r="BF25" i="1"/>
  <c r="BG25" i="1"/>
  <c r="BF26" i="1"/>
  <c r="BG26" i="1"/>
  <c r="BF27" i="1"/>
  <c r="BG27" i="1"/>
  <c r="BF28" i="1"/>
  <c r="BG28" i="1"/>
  <c r="BF29" i="1"/>
  <c r="BG29" i="1"/>
  <c r="BF30" i="1"/>
  <c r="BG30" i="1"/>
  <c r="BF31" i="1"/>
  <c r="BG31" i="1"/>
  <c r="BF32" i="1"/>
  <c r="BG32" i="1"/>
  <c r="BF33" i="1"/>
  <c r="BH33" i="1" s="1"/>
  <c r="BG33" i="1"/>
  <c r="BF34" i="1"/>
  <c r="BG34" i="1"/>
  <c r="BF35" i="1"/>
  <c r="BH35" i="1" s="1"/>
  <c r="BG35" i="1"/>
  <c r="BF36" i="1"/>
  <c r="BG36" i="1"/>
  <c r="BF37" i="1"/>
  <c r="BH37" i="1" s="1"/>
  <c r="BG37" i="1"/>
  <c r="BF38" i="1"/>
  <c r="BG38" i="1"/>
  <c r="BF39" i="1"/>
  <c r="BG39" i="1"/>
  <c r="BF40" i="1"/>
  <c r="BG40" i="1"/>
  <c r="BG10" i="1"/>
  <c r="BH10" i="1" s="1"/>
  <c r="BF10" i="1"/>
  <c r="BE11" i="1"/>
  <c r="BE12" i="1"/>
  <c r="BH12" i="1"/>
  <c r="BE13" i="1"/>
  <c r="BE14" i="1"/>
  <c r="BE15" i="1"/>
  <c r="BE16" i="1"/>
  <c r="BH16" i="1" s="1"/>
  <c r="BE17" i="1"/>
  <c r="BE18" i="1"/>
  <c r="BE19" i="1"/>
  <c r="BE20" i="1"/>
  <c r="BE21" i="1"/>
  <c r="BE22" i="1"/>
  <c r="BE23" i="1"/>
  <c r="BE24" i="1"/>
  <c r="BH24" i="1"/>
  <c r="BE25" i="1"/>
  <c r="BE26" i="1"/>
  <c r="BE27" i="1"/>
  <c r="BE28" i="1"/>
  <c r="BH28" i="1" s="1"/>
  <c r="BE29" i="1"/>
  <c r="BE30" i="1"/>
  <c r="BE31" i="1"/>
  <c r="BE32" i="1"/>
  <c r="BH32" i="1"/>
  <c r="BE33" i="1"/>
  <c r="BE34" i="1"/>
  <c r="BE35" i="1"/>
  <c r="BE36" i="1"/>
  <c r="BE37" i="1"/>
  <c r="BE38" i="1"/>
  <c r="BE39" i="1"/>
  <c r="BE40" i="1"/>
  <c r="BH40" i="1"/>
  <c r="BE10" i="1"/>
  <c r="BD11" i="1"/>
  <c r="BD12" i="1"/>
  <c r="BD13" i="1"/>
  <c r="BD14" i="1"/>
  <c r="BD15" i="1"/>
  <c r="BD16" i="1"/>
  <c r="BD17" i="1"/>
  <c r="BD18" i="1"/>
  <c r="BD19" i="1"/>
  <c r="BD20" i="1"/>
  <c r="BH20" i="1" s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H36" i="1" s="1"/>
  <c r="BD37" i="1"/>
  <c r="BD38" i="1"/>
  <c r="BD39" i="1"/>
  <c r="BD40" i="1"/>
  <c r="BD10" i="1"/>
  <c r="AJ8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10" i="1"/>
  <c r="AM37" i="1"/>
  <c r="BB40" i="1"/>
  <c r="BA40" i="1"/>
  <c r="BB39" i="1"/>
  <c r="BA39" i="1"/>
  <c r="BB38" i="1"/>
  <c r="BA38" i="1"/>
  <c r="BB37" i="1"/>
  <c r="BA37" i="1"/>
  <c r="BB36" i="1"/>
  <c r="BA36" i="1"/>
  <c r="AM36" i="1"/>
  <c r="BB35" i="1"/>
  <c r="BA35" i="1"/>
  <c r="AM35" i="1"/>
  <c r="BB34" i="1"/>
  <c r="BA34" i="1"/>
  <c r="AM34" i="1"/>
  <c r="BB33" i="1"/>
  <c r="BA33" i="1"/>
  <c r="AM33" i="1"/>
  <c r="N33" i="1" s="1"/>
  <c r="BB32" i="1"/>
  <c r="BA32" i="1"/>
  <c r="BC32" i="1"/>
  <c r="AM32" i="1"/>
  <c r="M32" i="1" s="1"/>
  <c r="BB31" i="1"/>
  <c r="BA31" i="1"/>
  <c r="AM31" i="1"/>
  <c r="N31" i="1" s="1"/>
  <c r="BB30" i="1"/>
  <c r="BA30" i="1"/>
  <c r="AM30" i="1"/>
  <c r="BB29" i="1"/>
  <c r="BA29" i="1"/>
  <c r="AM29" i="1"/>
  <c r="BB28" i="1"/>
  <c r="BA28" i="1"/>
  <c r="AM28" i="1"/>
  <c r="BB27" i="1"/>
  <c r="BA27" i="1"/>
  <c r="AM27" i="1"/>
  <c r="BB26" i="1"/>
  <c r="BA26" i="1"/>
  <c r="AM26" i="1"/>
  <c r="N26" i="1" s="1"/>
  <c r="BB25" i="1"/>
  <c r="BA25" i="1"/>
  <c r="AM25" i="1"/>
  <c r="N25" i="1" s="1"/>
  <c r="BB24" i="1"/>
  <c r="BA24" i="1"/>
  <c r="AM24" i="1"/>
  <c r="BB23" i="1"/>
  <c r="BA23" i="1"/>
  <c r="AM23" i="1"/>
  <c r="BB22" i="1"/>
  <c r="BA22" i="1"/>
  <c r="AM22" i="1"/>
  <c r="BB21" i="1"/>
  <c r="BA21" i="1"/>
  <c r="AM21" i="1"/>
  <c r="BB20" i="1"/>
  <c r="BA20" i="1"/>
  <c r="AM20" i="1"/>
  <c r="BB19" i="1"/>
  <c r="BA19" i="1"/>
  <c r="AM19" i="1"/>
  <c r="M19" i="1" s="1"/>
  <c r="Q19" i="1" s="1"/>
  <c r="BB18" i="1"/>
  <c r="BA18" i="1"/>
  <c r="AM18" i="1"/>
  <c r="M18" i="1" s="1"/>
  <c r="BB17" i="1"/>
  <c r="BA17" i="1"/>
  <c r="AM17" i="1"/>
  <c r="BB16" i="1"/>
  <c r="BA16" i="1"/>
  <c r="AM16" i="1"/>
  <c r="BB15" i="1"/>
  <c r="BA15" i="1"/>
  <c r="AM15" i="1"/>
  <c r="N15" i="1"/>
  <c r="BB14" i="1"/>
  <c r="BA14" i="1"/>
  <c r="AM14" i="1"/>
  <c r="BB13" i="1"/>
  <c r="BA13" i="1"/>
  <c r="AM13" i="1"/>
  <c r="BB12" i="1"/>
  <c r="BA12" i="1"/>
  <c r="AM12" i="1"/>
  <c r="M12" i="1" s="1"/>
  <c r="BB11" i="1"/>
  <c r="BA11" i="1"/>
  <c r="AM11" i="1"/>
  <c r="N11" i="1" s="1"/>
  <c r="BB10" i="1"/>
  <c r="BA10" i="1"/>
  <c r="AM10" i="1"/>
  <c r="AN10" i="1"/>
  <c r="AJ9" i="1"/>
  <c r="AD7" i="1" s="1"/>
  <c r="AJ7" i="1"/>
  <c r="AJ6" i="1"/>
  <c r="AJ5" i="1"/>
  <c r="AD6" i="1"/>
  <c r="AJ4" i="1"/>
  <c r="AD5" i="1"/>
  <c r="AL4" i="1"/>
  <c r="Z4" i="1" s="1"/>
  <c r="AL3" i="1"/>
  <c r="AJ3" i="1"/>
  <c r="AL2" i="1"/>
  <c r="AJ2" i="1"/>
  <c r="Z5" i="1" s="1"/>
  <c r="N12" i="1"/>
  <c r="N32" i="1"/>
  <c r="BH12" i="3"/>
  <c r="BC11" i="3"/>
  <c r="R14" i="3"/>
  <c r="R23" i="3"/>
  <c r="Q27" i="3"/>
  <c r="R31" i="3"/>
  <c r="Q35" i="3"/>
  <c r="R35" i="3"/>
  <c r="AN10" i="3"/>
  <c r="AU10" i="3"/>
  <c r="AX10" i="3"/>
  <c r="D11" i="3"/>
  <c r="W11" i="3"/>
  <c r="AQ11" i="3"/>
  <c r="B12" i="3"/>
  <c r="R19" i="3"/>
  <c r="Q25" i="3"/>
  <c r="R25" i="3"/>
  <c r="X11" i="3"/>
  <c r="AN11" i="3"/>
  <c r="Q26" i="3"/>
  <c r="Q34" i="3"/>
  <c r="AR11" i="3"/>
  <c r="AY11" i="3" s="1"/>
  <c r="AQ12" i="3"/>
  <c r="D12" i="3"/>
  <c r="X12" i="3"/>
  <c r="AU11" i="3"/>
  <c r="BC18" i="1"/>
  <c r="M15" i="1"/>
  <c r="M25" i="1"/>
  <c r="AD4" i="1"/>
  <c r="AO10" i="1"/>
  <c r="AQ10" i="1"/>
  <c r="BH38" i="1"/>
  <c r="BH30" i="1"/>
  <c r="BH26" i="1"/>
  <c r="BH22" i="1"/>
  <c r="BH14" i="1"/>
  <c r="BH34" i="1"/>
  <c r="N19" i="1"/>
  <c r="BC17" i="1"/>
  <c r="BC21" i="1"/>
  <c r="BC25" i="1"/>
  <c r="BC33" i="1"/>
  <c r="BH18" i="1"/>
  <c r="M31" i="1"/>
  <c r="M26" i="1"/>
  <c r="BC10" i="1"/>
  <c r="BC22" i="1"/>
  <c r="BC26" i="1"/>
  <c r="BC34" i="1"/>
  <c r="AP10" i="1"/>
  <c r="X10" i="1"/>
  <c r="BC11" i="1"/>
  <c r="BC15" i="1"/>
  <c r="BC19" i="1"/>
  <c r="BC27" i="1"/>
  <c r="BC31" i="1"/>
  <c r="BC40" i="1"/>
  <c r="AD3" i="1"/>
  <c r="N18" i="1"/>
  <c r="BC14" i="1"/>
  <c r="BC30" i="1"/>
  <c r="BC37" i="1"/>
  <c r="BC39" i="1"/>
  <c r="BH29" i="1"/>
  <c r="BH25" i="1"/>
  <c r="BH21" i="1"/>
  <c r="BH13" i="1"/>
  <c r="W10" i="1"/>
  <c r="BC20" i="1"/>
  <c r="BC24" i="1"/>
  <c r="BH39" i="1"/>
  <c r="BH23" i="1"/>
  <c r="Z6" i="1"/>
  <c r="BH31" i="1"/>
  <c r="BH27" i="1"/>
  <c r="BH15" i="1"/>
  <c r="BC12" i="1"/>
  <c r="BC13" i="1"/>
  <c r="BC16" i="1"/>
  <c r="BC23" i="1"/>
  <c r="BC28" i="1"/>
  <c r="BC29" i="1"/>
  <c r="BC36" i="1"/>
  <c r="BC38" i="1"/>
  <c r="BC35" i="1"/>
  <c r="Q32" i="1"/>
  <c r="M11" i="1"/>
  <c r="M10" i="1"/>
  <c r="N10" i="1"/>
  <c r="R18" i="1"/>
  <c r="N13" i="1"/>
  <c r="M13" i="1"/>
  <c r="Q13" i="1" s="1"/>
  <c r="M14" i="1"/>
  <c r="N14" i="1"/>
  <c r="N16" i="1"/>
  <c r="M16" i="1"/>
  <c r="Q16" i="1" s="1"/>
  <c r="N17" i="1"/>
  <c r="M17" i="1"/>
  <c r="R17" i="1" s="1"/>
  <c r="N20" i="1"/>
  <c r="M20" i="1"/>
  <c r="M21" i="1"/>
  <c r="N21" i="1"/>
  <c r="N22" i="1"/>
  <c r="M22" i="1"/>
  <c r="M23" i="1"/>
  <c r="N23" i="1"/>
  <c r="N24" i="1"/>
  <c r="M24" i="1"/>
  <c r="N27" i="1"/>
  <c r="M27" i="1"/>
  <c r="N28" i="1"/>
  <c r="M28" i="1"/>
  <c r="M29" i="1"/>
  <c r="N29" i="1"/>
  <c r="N30" i="1"/>
  <c r="M30" i="1"/>
  <c r="N34" i="1"/>
  <c r="M34" i="1"/>
  <c r="N35" i="1"/>
  <c r="M35" i="1"/>
  <c r="N36" i="1"/>
  <c r="M36" i="1"/>
  <c r="N37" i="1"/>
  <c r="M37" i="1"/>
  <c r="R19" i="1" l="1"/>
  <c r="Q18" i="1"/>
  <c r="Q26" i="1"/>
  <c r="Q10" i="1"/>
  <c r="Q31" i="1"/>
  <c r="R37" i="1"/>
  <c r="Q35" i="1"/>
  <c r="R26" i="1"/>
  <c r="R29" i="1"/>
  <c r="R27" i="1"/>
  <c r="Q21" i="1"/>
  <c r="Q15" i="1"/>
  <c r="Q37" i="1"/>
  <c r="R34" i="1"/>
  <c r="Q29" i="1"/>
  <c r="R32" i="1"/>
  <c r="R30" i="1"/>
  <c r="Q12" i="1"/>
  <c r="Q23" i="1"/>
  <c r="R35" i="1"/>
  <c r="Q24" i="1"/>
  <c r="Q17" i="1"/>
  <c r="R13" i="1"/>
  <c r="R15" i="1"/>
  <c r="R12" i="1"/>
  <c r="Q36" i="1"/>
  <c r="R20" i="1"/>
  <c r="Q30" i="1"/>
  <c r="R36" i="1"/>
  <c r="Q34" i="1"/>
  <c r="R24" i="1"/>
  <c r="R22" i="1"/>
  <c r="R31" i="1"/>
  <c r="Q28" i="1"/>
  <c r="Q27" i="1"/>
  <c r="R23" i="1"/>
  <c r="Q11" i="1"/>
  <c r="R11" i="1"/>
  <c r="R21" i="1"/>
  <c r="Q20" i="1"/>
  <c r="R14" i="1"/>
  <c r="Q14" i="1"/>
  <c r="R28" i="1"/>
  <c r="Q22" i="1"/>
  <c r="R16" i="1"/>
  <c r="R10" i="1"/>
  <c r="AR10" i="1"/>
  <c r="AX10" i="1"/>
  <c r="R25" i="1"/>
  <c r="Q25" i="1"/>
  <c r="AX12" i="3"/>
  <c r="AR12" i="3"/>
  <c r="R20" i="3"/>
  <c r="Q20" i="3"/>
  <c r="R28" i="3"/>
  <c r="Q28" i="3"/>
  <c r="Q32" i="3"/>
  <c r="R32" i="3"/>
  <c r="R33" i="3"/>
  <c r="Q33" i="3"/>
  <c r="M37" i="3"/>
  <c r="N37" i="3"/>
  <c r="AS11" i="3"/>
  <c r="AO12" i="3"/>
  <c r="AN12" i="3"/>
  <c r="AU12" i="3" s="1"/>
  <c r="W12" i="3"/>
  <c r="B13" i="3"/>
  <c r="AP12" i="3"/>
  <c r="R21" i="3"/>
  <c r="Q21" i="3"/>
  <c r="AR10" i="3"/>
  <c r="N30" i="3"/>
  <c r="M30" i="3"/>
  <c r="B11" i="1"/>
  <c r="D11" i="1" s="1"/>
  <c r="Z6" i="3"/>
  <c r="AO11" i="3"/>
  <c r="AV11" i="3" s="1"/>
  <c r="AW11" i="3" s="1"/>
  <c r="R16" i="3"/>
  <c r="BC18" i="3"/>
  <c r="BH20" i="3"/>
  <c r="BC25" i="3"/>
  <c r="BH27" i="3"/>
  <c r="N29" i="3"/>
  <c r="R29" i="3" s="1"/>
  <c r="BH34" i="3"/>
  <c r="M36" i="3"/>
  <c r="AX11" i="3"/>
  <c r="AZ11" i="3" s="1"/>
  <c r="M33" i="1"/>
  <c r="N22" i="3"/>
  <c r="M22" i="3"/>
  <c r="Q24" i="3"/>
  <c r="R24" i="3"/>
  <c r="Q29" i="3"/>
  <c r="V11" i="3" l="1"/>
  <c r="Y11" i="3"/>
  <c r="U11" i="3"/>
  <c r="Z11" i="3"/>
  <c r="R36" i="3"/>
  <c r="Q36" i="3"/>
  <c r="AT11" i="3"/>
  <c r="N11" i="3"/>
  <c r="AY12" i="3"/>
  <c r="AZ12" i="3" s="1"/>
  <c r="AS12" i="3"/>
  <c r="R33" i="1"/>
  <c r="Q33" i="1"/>
  <c r="AS10" i="3"/>
  <c r="AY10" i="3"/>
  <c r="AZ10" i="3" s="1"/>
  <c r="AV12" i="3"/>
  <c r="AW12" i="3" s="1"/>
  <c r="AS10" i="1"/>
  <c r="AT10" i="1" s="1"/>
  <c r="AY10" i="1"/>
  <c r="AZ10" i="1" s="1"/>
  <c r="AV10" i="1"/>
  <c r="AU10" i="1"/>
  <c r="M11" i="3"/>
  <c r="R22" i="3"/>
  <c r="Q22" i="3"/>
  <c r="AO11" i="1"/>
  <c r="AQ11" i="1"/>
  <c r="AP11" i="1"/>
  <c r="B12" i="1"/>
  <c r="D12" i="1" s="1"/>
  <c r="X11" i="1"/>
  <c r="AN11" i="1"/>
  <c r="W11" i="1"/>
  <c r="AV10" i="3"/>
  <c r="AW10" i="3" s="1"/>
  <c r="AP13" i="3"/>
  <c r="AQ13" i="3"/>
  <c r="AO13" i="3"/>
  <c r="X13" i="3"/>
  <c r="D13" i="3"/>
  <c r="B14" i="3"/>
  <c r="W13" i="3"/>
  <c r="AN13" i="3"/>
  <c r="Q37" i="3"/>
  <c r="R37" i="3"/>
  <c r="R30" i="3"/>
  <c r="Q30" i="3"/>
  <c r="AW10" i="1" l="1"/>
  <c r="Y10" i="1" s="1"/>
  <c r="Y12" i="3"/>
  <c r="Z12" i="3"/>
  <c r="U12" i="3"/>
  <c r="V12" i="3"/>
  <c r="AQ14" i="3"/>
  <c r="AP14" i="3"/>
  <c r="AO14" i="3"/>
  <c r="X14" i="3"/>
  <c r="AN14" i="3"/>
  <c r="B15" i="3"/>
  <c r="D14" i="3"/>
  <c r="W14" i="3"/>
  <c r="X12" i="1"/>
  <c r="W12" i="1"/>
  <c r="AQ12" i="1"/>
  <c r="AN12" i="1"/>
  <c r="AP12" i="1"/>
  <c r="B13" i="1"/>
  <c r="D13" i="1" s="1"/>
  <c r="AO12" i="1"/>
  <c r="AT12" i="3"/>
  <c r="N12" i="3"/>
  <c r="M12" i="3"/>
  <c r="AV13" i="3"/>
  <c r="AR13" i="3"/>
  <c r="AU13" i="3"/>
  <c r="AX13" i="3"/>
  <c r="M10" i="3"/>
  <c r="AT10" i="3"/>
  <c r="N10" i="3"/>
  <c r="AR11" i="1"/>
  <c r="AU11" i="1" s="1"/>
  <c r="AX11" i="1"/>
  <c r="Q11" i="3"/>
  <c r="R11" i="3"/>
  <c r="Y10" i="3"/>
  <c r="Z10" i="3"/>
  <c r="U10" i="3"/>
  <c r="V10" i="3"/>
  <c r="Z10" i="1"/>
  <c r="V10" i="1"/>
  <c r="U10" i="1" l="1"/>
  <c r="AX12" i="1"/>
  <c r="AR12" i="1"/>
  <c r="AU12" i="1" s="1"/>
  <c r="AV11" i="1"/>
  <c r="AW11" i="1" s="1"/>
  <c r="R12" i="3"/>
  <c r="Q12" i="3"/>
  <c r="AW13" i="3"/>
  <c r="B14" i="1"/>
  <c r="D14" i="1" s="1"/>
  <c r="AQ13" i="1"/>
  <c r="W13" i="1"/>
  <c r="X13" i="1"/>
  <c r="AN13" i="1"/>
  <c r="AP13" i="1"/>
  <c r="AO13" i="1"/>
  <c r="AS13" i="3"/>
  <c r="AY13" i="3"/>
  <c r="AZ13" i="3" s="1"/>
  <c r="AX14" i="3"/>
  <c r="AV14" i="3"/>
  <c r="AR14" i="3"/>
  <c r="AU14" i="3"/>
  <c r="R10" i="3"/>
  <c r="Q10" i="3"/>
  <c r="AS11" i="1"/>
  <c r="AT11" i="1" s="1"/>
  <c r="AY11" i="1"/>
  <c r="AZ11" i="1" s="1"/>
  <c r="B16" i="3"/>
  <c r="D15" i="3"/>
  <c r="AN15" i="3"/>
  <c r="W15" i="3"/>
  <c r="AO15" i="3"/>
  <c r="AP15" i="3"/>
  <c r="AQ15" i="3"/>
  <c r="X15" i="3"/>
  <c r="U13" i="3" l="1"/>
  <c r="V13" i="3"/>
  <c r="Y13" i="3"/>
  <c r="Z13" i="3"/>
  <c r="AY12" i="1"/>
  <c r="AZ12" i="1" s="1"/>
  <c r="AS12" i="1"/>
  <c r="AT12" i="1" s="1"/>
  <c r="AS14" i="3"/>
  <c r="AT14" i="3" s="1"/>
  <c r="AY14" i="3"/>
  <c r="AZ14" i="3" s="1"/>
  <c r="N13" i="3"/>
  <c r="M13" i="3"/>
  <c r="AT13" i="3"/>
  <c r="AR13" i="1"/>
  <c r="AV13" i="1" s="1"/>
  <c r="AX13" i="1"/>
  <c r="W14" i="1"/>
  <c r="AN14" i="1"/>
  <c r="B15" i="1"/>
  <c r="D15" i="1" s="1"/>
  <c r="X14" i="1"/>
  <c r="AQ14" i="1"/>
  <c r="AP14" i="1"/>
  <c r="AO14" i="1"/>
  <c r="AV12" i="1"/>
  <c r="AW12" i="1" s="1"/>
  <c r="B17" i="3"/>
  <c r="D16" i="3"/>
  <c r="AO16" i="3"/>
  <c r="X16" i="3"/>
  <c r="W16" i="3"/>
  <c r="AP16" i="3"/>
  <c r="AQ16" i="3"/>
  <c r="AN16" i="3"/>
  <c r="AR15" i="3"/>
  <c r="AU15" i="3"/>
  <c r="AX15" i="3"/>
  <c r="AW14" i="3"/>
  <c r="Z11" i="1"/>
  <c r="Y11" i="1"/>
  <c r="U11" i="1"/>
  <c r="V11" i="1"/>
  <c r="AU13" i="1" l="1"/>
  <c r="AS15" i="3"/>
  <c r="AY15" i="3"/>
  <c r="AZ15" i="3" s="1"/>
  <c r="AV15" i="3"/>
  <c r="Q13" i="3"/>
  <c r="R13" i="3"/>
  <c r="Y12" i="1"/>
  <c r="U12" i="1"/>
  <c r="V12" i="1"/>
  <c r="Z12" i="1"/>
  <c r="AX16" i="3"/>
  <c r="AR16" i="3"/>
  <c r="AU16" i="3"/>
  <c r="B18" i="3"/>
  <c r="D17" i="3"/>
  <c r="AQ17" i="3"/>
  <c r="AP17" i="3"/>
  <c r="W17" i="3"/>
  <c r="AN17" i="3"/>
  <c r="AO17" i="3"/>
  <c r="X17" i="3"/>
  <c r="AS13" i="1"/>
  <c r="AT13" i="1" s="1"/>
  <c r="AY13" i="1"/>
  <c r="AZ13" i="1" s="1"/>
  <c r="AW15" i="3"/>
  <c r="AX14" i="1"/>
  <c r="AR14" i="1"/>
  <c r="AU14" i="1" s="1"/>
  <c r="AO15" i="1"/>
  <c r="W15" i="1"/>
  <c r="X15" i="1"/>
  <c r="AQ15" i="1"/>
  <c r="B16" i="1"/>
  <c r="D16" i="1" s="1"/>
  <c r="AP15" i="1"/>
  <c r="AN15" i="1"/>
  <c r="Y14" i="3"/>
  <c r="Z14" i="3"/>
  <c r="V14" i="3"/>
  <c r="U14" i="3"/>
  <c r="AW13" i="1"/>
  <c r="AV14" i="1" l="1"/>
  <c r="AW14" i="1" s="1"/>
  <c r="AR15" i="1"/>
  <c r="AU15" i="1" s="1"/>
  <c r="AX15" i="1"/>
  <c r="U15" i="3"/>
  <c r="Y15" i="3"/>
  <c r="Z15" i="3"/>
  <c r="V15" i="3"/>
  <c r="AN16" i="1"/>
  <c r="AO16" i="1"/>
  <c r="X16" i="1"/>
  <c r="W16" i="1"/>
  <c r="AQ16" i="1"/>
  <c r="AP16" i="1"/>
  <c r="B17" i="1"/>
  <c r="D17" i="1" s="1"/>
  <c r="AO18" i="3"/>
  <c r="AN18" i="3"/>
  <c r="D18" i="3"/>
  <c r="B19" i="3"/>
  <c r="AP18" i="3"/>
  <c r="W18" i="3"/>
  <c r="X18" i="3"/>
  <c r="AQ18" i="3"/>
  <c r="AX17" i="3"/>
  <c r="AR17" i="3"/>
  <c r="AU17" i="3"/>
  <c r="AS16" i="3"/>
  <c r="AT16" i="3" s="1"/>
  <c r="AY16" i="3"/>
  <c r="AZ16" i="3" s="1"/>
  <c r="N15" i="3"/>
  <c r="M15" i="3"/>
  <c r="AT15" i="3"/>
  <c r="Z13" i="1"/>
  <c r="V13" i="1"/>
  <c r="Y13" i="1"/>
  <c r="U13" i="1"/>
  <c r="AS14" i="1"/>
  <c r="AT14" i="1" s="1"/>
  <c r="AY14" i="1"/>
  <c r="AZ14" i="1" s="1"/>
  <c r="AV16" i="3"/>
  <c r="AW16" i="3" s="1"/>
  <c r="V14" i="1" l="1"/>
  <c r="Z14" i="1"/>
  <c r="Y14" i="1"/>
  <c r="U14" i="1"/>
  <c r="AV15" i="1"/>
  <c r="AW15" i="1" s="1"/>
  <c r="Y16" i="3"/>
  <c r="U16" i="3"/>
  <c r="V16" i="3"/>
  <c r="Z16" i="3"/>
  <c r="X19" i="3"/>
  <c r="W19" i="3"/>
  <c r="AP19" i="3"/>
  <c r="AO19" i="3"/>
  <c r="AN19" i="3"/>
  <c r="D19" i="3"/>
  <c r="AQ19" i="3"/>
  <c r="B20" i="3"/>
  <c r="AS17" i="3"/>
  <c r="AY17" i="3"/>
  <c r="AZ17" i="3" s="1"/>
  <c r="AR16" i="1"/>
  <c r="AV16" i="1" s="1"/>
  <c r="AX16" i="1"/>
  <c r="AV17" i="3"/>
  <c r="AW17" i="3" s="1"/>
  <c r="AX18" i="3"/>
  <c r="AR18" i="3"/>
  <c r="AU18" i="3"/>
  <c r="B18" i="1"/>
  <c r="D18" i="1" s="1"/>
  <c r="W17" i="1"/>
  <c r="AQ17" i="1"/>
  <c r="X17" i="1"/>
  <c r="AO17" i="1"/>
  <c r="AN17" i="1"/>
  <c r="AP17" i="1"/>
  <c r="AY15" i="1"/>
  <c r="AZ15" i="1" s="1"/>
  <c r="AS15" i="1"/>
  <c r="AT15" i="1" s="1"/>
  <c r="Q15" i="3"/>
  <c r="R15" i="3"/>
  <c r="V15" i="1" l="1"/>
  <c r="U15" i="1"/>
  <c r="Y15" i="1"/>
  <c r="Z15" i="1"/>
  <c r="AU16" i="1"/>
  <c r="AW16" i="1" s="1"/>
  <c r="Z16" i="1" s="1"/>
  <c r="Z17" i="3"/>
  <c r="Y17" i="3"/>
  <c r="V17" i="3"/>
  <c r="U17" i="3"/>
  <c r="AY18" i="3"/>
  <c r="AZ18" i="3" s="1"/>
  <c r="AS18" i="3"/>
  <c r="X18" i="1"/>
  <c r="W18" i="1"/>
  <c r="AN18" i="1"/>
  <c r="B19" i="1"/>
  <c r="D19" i="1" s="1"/>
  <c r="AP18" i="1"/>
  <c r="AQ18" i="1"/>
  <c r="AO18" i="1"/>
  <c r="AW18" i="3"/>
  <c r="AT17" i="3"/>
  <c r="M17" i="3"/>
  <c r="N17" i="3"/>
  <c r="AR19" i="3"/>
  <c r="AX19" i="3"/>
  <c r="V16" i="1"/>
  <c r="AR17" i="1"/>
  <c r="AV17" i="1" s="1"/>
  <c r="AX17" i="1"/>
  <c r="AV18" i="3"/>
  <c r="AY16" i="1"/>
  <c r="AZ16" i="1" s="1"/>
  <c r="AS16" i="1"/>
  <c r="AT16" i="1" s="1"/>
  <c r="W20" i="3"/>
  <c r="X20" i="3"/>
  <c r="B21" i="3"/>
  <c r="AP20" i="3"/>
  <c r="AQ20" i="3"/>
  <c r="AN20" i="3"/>
  <c r="D20" i="3"/>
  <c r="AO20" i="3"/>
  <c r="Y16" i="1" l="1"/>
  <c r="U16" i="1"/>
  <c r="AU17" i="1"/>
  <c r="AS19" i="3"/>
  <c r="AT19" i="3" s="1"/>
  <c r="AY19" i="3"/>
  <c r="AZ19" i="3" s="1"/>
  <c r="Z18" i="3"/>
  <c r="Y18" i="3"/>
  <c r="U18" i="3"/>
  <c r="V18" i="3"/>
  <c r="AV19" i="3"/>
  <c r="M18" i="3"/>
  <c r="N18" i="3"/>
  <c r="AT18" i="3"/>
  <c r="AR18" i="1"/>
  <c r="AV18" i="1" s="1"/>
  <c r="AX18" i="1"/>
  <c r="AS17" i="1"/>
  <c r="AT17" i="1" s="1"/>
  <c r="AY17" i="1"/>
  <c r="AZ17" i="1" s="1"/>
  <c r="AU19" i="3"/>
  <c r="Q17" i="3"/>
  <c r="R17" i="3"/>
  <c r="AN21" i="3"/>
  <c r="W21" i="3"/>
  <c r="X21" i="3"/>
  <c r="AQ21" i="3"/>
  <c r="AP21" i="3"/>
  <c r="D21" i="3"/>
  <c r="B22" i="3"/>
  <c r="AO21" i="3"/>
  <c r="AW17" i="1"/>
  <c r="AX20" i="3"/>
  <c r="AV20" i="3"/>
  <c r="AU20" i="3"/>
  <c r="AW20" i="3" s="1"/>
  <c r="AR20" i="3"/>
  <c r="AP19" i="1"/>
  <c r="W19" i="1"/>
  <c r="B20" i="1"/>
  <c r="D20" i="1" s="1"/>
  <c r="X19" i="1"/>
  <c r="AN19" i="1"/>
  <c r="AO19" i="1"/>
  <c r="AQ19" i="1"/>
  <c r="AU18" i="1" l="1"/>
  <c r="AW18" i="1" s="1"/>
  <c r="AX19" i="1"/>
  <c r="AR19" i="1"/>
  <c r="B21" i="1"/>
  <c r="D21" i="1" s="1"/>
  <c r="W20" i="1"/>
  <c r="AQ20" i="1"/>
  <c r="X20" i="1"/>
  <c r="AO20" i="1"/>
  <c r="AP20" i="1"/>
  <c r="AN20" i="1"/>
  <c r="AY20" i="3"/>
  <c r="AZ20" i="3" s="1"/>
  <c r="AS20" i="3"/>
  <c r="AT20" i="3" s="1"/>
  <c r="Z17" i="1"/>
  <c r="U17" i="1"/>
  <c r="Y17" i="1"/>
  <c r="V17" i="1"/>
  <c r="AY18" i="1"/>
  <c r="AZ18" i="1" s="1"/>
  <c r="AS18" i="1"/>
  <c r="AT18" i="1" s="1"/>
  <c r="Q18" i="3"/>
  <c r="R18" i="3"/>
  <c r="Y20" i="3"/>
  <c r="U20" i="3"/>
  <c r="V20" i="3"/>
  <c r="Z20" i="3"/>
  <c r="AR21" i="3"/>
  <c r="AU21" i="3"/>
  <c r="AX21" i="3"/>
  <c r="AV21" i="3"/>
  <c r="W22" i="3"/>
  <c r="AN22" i="3"/>
  <c r="AQ22" i="3"/>
  <c r="X22" i="3"/>
  <c r="D22" i="3"/>
  <c r="B23" i="3"/>
  <c r="AO22" i="3"/>
  <c r="AP22" i="3"/>
  <c r="AW19" i="3"/>
  <c r="V18" i="1" l="1"/>
  <c r="Z18" i="1"/>
  <c r="Y18" i="1"/>
  <c r="U18" i="1"/>
  <c r="AX20" i="1"/>
  <c r="AR20" i="1"/>
  <c r="AU20" i="1" s="1"/>
  <c r="AX22" i="3"/>
  <c r="AR22" i="3"/>
  <c r="X23" i="3"/>
  <c r="W23" i="3"/>
  <c r="AQ23" i="3"/>
  <c r="AN23" i="3"/>
  <c r="D23" i="3"/>
  <c r="AO23" i="3"/>
  <c r="B24" i="3"/>
  <c r="AP23" i="3"/>
  <c r="AS19" i="1"/>
  <c r="AT19" i="1" s="1"/>
  <c r="AY19" i="1"/>
  <c r="AZ19" i="1" s="1"/>
  <c r="AW21" i="3"/>
  <c r="AV19" i="1"/>
  <c r="Y19" i="3"/>
  <c r="Z19" i="3"/>
  <c r="V19" i="3"/>
  <c r="U19" i="3"/>
  <c r="AS21" i="3"/>
  <c r="AT21" i="3" s="1"/>
  <c r="AY21" i="3"/>
  <c r="AZ21" i="3" s="1"/>
  <c r="AQ21" i="1"/>
  <c r="AO21" i="1"/>
  <c r="B22" i="1"/>
  <c r="D22" i="1" s="1"/>
  <c r="W21" i="1"/>
  <c r="AN21" i="1"/>
  <c r="X21" i="1"/>
  <c r="AP21" i="1"/>
  <c r="AU19" i="1"/>
  <c r="AW19" i="1" s="1"/>
  <c r="AX21" i="1" l="1"/>
  <c r="AR21" i="1"/>
  <c r="AV21" i="1" s="1"/>
  <c r="Z21" i="3"/>
  <c r="U21" i="3"/>
  <c r="V21" i="3"/>
  <c r="Y21" i="3"/>
  <c r="AY22" i="3"/>
  <c r="AZ22" i="3" s="1"/>
  <c r="AS22" i="3"/>
  <c r="AT22" i="3" s="1"/>
  <c r="AV22" i="3"/>
  <c r="AY20" i="1"/>
  <c r="AZ20" i="1" s="1"/>
  <c r="AS20" i="1"/>
  <c r="AT20" i="1" s="1"/>
  <c r="Y19" i="1"/>
  <c r="V19" i="1"/>
  <c r="Z19" i="1"/>
  <c r="U19" i="1"/>
  <c r="W24" i="3"/>
  <c r="X24" i="3"/>
  <c r="AQ24" i="3"/>
  <c r="AP24" i="3"/>
  <c r="B25" i="3"/>
  <c r="AO24" i="3"/>
  <c r="AN24" i="3"/>
  <c r="D24" i="3"/>
  <c r="AU22" i="3"/>
  <c r="AW22" i="3" s="1"/>
  <c r="AV20" i="1"/>
  <c r="AW20" i="1" s="1"/>
  <c r="AR23" i="3"/>
  <c r="AV23" i="3" s="1"/>
  <c r="AX23" i="3"/>
  <c r="W22" i="1"/>
  <c r="X22" i="1"/>
  <c r="AO22" i="1"/>
  <c r="AP22" i="1"/>
  <c r="AN22" i="1"/>
  <c r="B23" i="1"/>
  <c r="D23" i="1" s="1"/>
  <c r="AQ22" i="1"/>
  <c r="AU21" i="1" l="1"/>
  <c r="AW21" i="1" s="1"/>
  <c r="Z20" i="1"/>
  <c r="Y20" i="1"/>
  <c r="U20" i="1"/>
  <c r="V20" i="1"/>
  <c r="AS23" i="3"/>
  <c r="AT23" i="3" s="1"/>
  <c r="AY23" i="3"/>
  <c r="AZ23" i="3" s="1"/>
  <c r="X25" i="3"/>
  <c r="W25" i="3"/>
  <c r="AP25" i="3"/>
  <c r="AQ25" i="3"/>
  <c r="B26" i="3"/>
  <c r="AO25" i="3"/>
  <c r="AN25" i="3"/>
  <c r="D25" i="3"/>
  <c r="AR22" i="1"/>
  <c r="AV22" i="1" s="1"/>
  <c r="AX22" i="1"/>
  <c r="AO23" i="1"/>
  <c r="B24" i="1"/>
  <c r="D24" i="1" s="1"/>
  <c r="X23" i="1"/>
  <c r="AP23" i="1"/>
  <c r="W23" i="1"/>
  <c r="AN23" i="1"/>
  <c r="AQ23" i="1"/>
  <c r="AY21" i="1"/>
  <c r="AZ21" i="1" s="1"/>
  <c r="AS21" i="1"/>
  <c r="AT21" i="1" s="1"/>
  <c r="V22" i="3"/>
  <c r="U22" i="3"/>
  <c r="Y22" i="3"/>
  <c r="Z22" i="3"/>
  <c r="AU23" i="3"/>
  <c r="AW23" i="3" s="1"/>
  <c r="AX24" i="3"/>
  <c r="AR24" i="3"/>
  <c r="AV24" i="3"/>
  <c r="V23" i="3" l="1"/>
  <c r="U23" i="3"/>
  <c r="Y23" i="3"/>
  <c r="Z23" i="3"/>
  <c r="AS24" i="3"/>
  <c r="AT24" i="3" s="1"/>
  <c r="AY24" i="3"/>
  <c r="AZ24" i="3" s="1"/>
  <c r="AU24" i="3"/>
  <c r="AW24" i="3" s="1"/>
  <c r="AR23" i="1"/>
  <c r="AX23" i="1"/>
  <c r="AS22" i="1"/>
  <c r="AT22" i="1" s="1"/>
  <c r="AY22" i="1"/>
  <c r="AZ22" i="1" s="1"/>
  <c r="AX25" i="3"/>
  <c r="AV25" i="3"/>
  <c r="AR25" i="3"/>
  <c r="AU25" i="3" s="1"/>
  <c r="AW25" i="3" s="1"/>
  <c r="B27" i="3"/>
  <c r="D26" i="3"/>
  <c r="AO26" i="3"/>
  <c r="AN26" i="3"/>
  <c r="AQ26" i="3"/>
  <c r="W26" i="3"/>
  <c r="AP26" i="3"/>
  <c r="X26" i="3"/>
  <c r="B25" i="1"/>
  <c r="D25" i="1" s="1"/>
  <c r="X24" i="1"/>
  <c r="AN24" i="1"/>
  <c r="AP24" i="1"/>
  <c r="AQ24" i="1"/>
  <c r="W24" i="1"/>
  <c r="AO24" i="1"/>
  <c r="AU22" i="1"/>
  <c r="AW22" i="1" s="1"/>
  <c r="Z21" i="1"/>
  <c r="V21" i="1"/>
  <c r="Y21" i="1"/>
  <c r="U21" i="1"/>
  <c r="U25" i="3" l="1"/>
  <c r="Y25" i="3"/>
  <c r="V25" i="3"/>
  <c r="Z25" i="3"/>
  <c r="U24" i="3"/>
  <c r="Y24" i="3"/>
  <c r="Z24" i="3"/>
  <c r="V24" i="3"/>
  <c r="AR24" i="1"/>
  <c r="AU24" i="1" s="1"/>
  <c r="AX24" i="1"/>
  <c r="AS23" i="1"/>
  <c r="AT23" i="1" s="1"/>
  <c r="AY23" i="1"/>
  <c r="AZ23" i="1" s="1"/>
  <c r="V22" i="1"/>
  <c r="U22" i="1"/>
  <c r="Z22" i="1"/>
  <c r="Y22" i="1"/>
  <c r="B26" i="1"/>
  <c r="D26" i="1" s="1"/>
  <c r="AQ25" i="1"/>
  <c r="W25" i="1"/>
  <c r="AO25" i="1"/>
  <c r="AN25" i="1"/>
  <c r="X25" i="1"/>
  <c r="AP25" i="1"/>
  <c r="AP27" i="3"/>
  <c r="AQ27" i="3"/>
  <c r="X27" i="3"/>
  <c r="W27" i="3"/>
  <c r="AN27" i="3"/>
  <c r="B28" i="3"/>
  <c r="D27" i="3"/>
  <c r="AO27" i="3"/>
  <c r="AU23" i="1"/>
  <c r="AR26" i="3"/>
  <c r="AX26" i="3"/>
  <c r="AY25" i="3"/>
  <c r="AZ25" i="3" s="1"/>
  <c r="AS25" i="3"/>
  <c r="AT25" i="3" s="1"/>
  <c r="AV23" i="1"/>
  <c r="X26" i="1" l="1"/>
  <c r="AQ26" i="1"/>
  <c r="B27" i="1"/>
  <c r="D27" i="1" s="1"/>
  <c r="AN26" i="1"/>
  <c r="AO26" i="1"/>
  <c r="W26" i="1"/>
  <c r="AP26" i="1"/>
  <c r="AY26" i="3"/>
  <c r="AZ26" i="3" s="1"/>
  <c r="AS26" i="3"/>
  <c r="AT26" i="3" s="1"/>
  <c r="AR27" i="3"/>
  <c r="AV27" i="3"/>
  <c r="AX27" i="3"/>
  <c r="AR25" i="1"/>
  <c r="AV25" i="1" s="1"/>
  <c r="AX25" i="1"/>
  <c r="AS24" i="1"/>
  <c r="AT24" i="1" s="1"/>
  <c r="AY24" i="1"/>
  <c r="AZ24" i="1" s="1"/>
  <c r="AV26" i="3"/>
  <c r="AW23" i="1"/>
  <c r="AU26" i="3"/>
  <c r="W28" i="3"/>
  <c r="X28" i="3"/>
  <c r="AQ28" i="3"/>
  <c r="AP28" i="3"/>
  <c r="B29" i="3"/>
  <c r="AO28" i="3"/>
  <c r="AN28" i="3"/>
  <c r="D28" i="3"/>
  <c r="AV24" i="1"/>
  <c r="AW24" i="1" s="1"/>
  <c r="Z24" i="1" l="1"/>
  <c r="U24" i="1"/>
  <c r="Y24" i="1"/>
  <c r="V24" i="1"/>
  <c r="X29" i="3"/>
  <c r="W29" i="3"/>
  <c r="AP29" i="3"/>
  <c r="AQ29" i="3"/>
  <c r="B30" i="3"/>
  <c r="AO29" i="3"/>
  <c r="AN29" i="3"/>
  <c r="D29" i="3"/>
  <c r="Z23" i="1"/>
  <c r="Y23" i="1"/>
  <c r="V23" i="1"/>
  <c r="U23" i="1"/>
  <c r="AX28" i="3"/>
  <c r="AR28" i="3"/>
  <c r="AU28" i="3" s="1"/>
  <c r="AW28" i="3" s="1"/>
  <c r="AV28" i="3"/>
  <c r="AW26" i="3"/>
  <c r="AS27" i="3"/>
  <c r="AT27" i="3" s="1"/>
  <c r="AY27" i="3"/>
  <c r="AZ27" i="3" s="1"/>
  <c r="AR26" i="1"/>
  <c r="AU26" i="1" s="1"/>
  <c r="AX26" i="1"/>
  <c r="AY25" i="1"/>
  <c r="AZ25" i="1" s="1"/>
  <c r="AS25" i="1"/>
  <c r="AT25" i="1" s="1"/>
  <c r="AP27" i="1"/>
  <c r="W27" i="1"/>
  <c r="X27" i="1"/>
  <c r="AN27" i="1"/>
  <c r="AO27" i="1"/>
  <c r="B28" i="1"/>
  <c r="D28" i="1" s="1"/>
  <c r="AQ27" i="1"/>
  <c r="AU25" i="1"/>
  <c r="AW25" i="1" s="1"/>
  <c r="AU27" i="3"/>
  <c r="AW27" i="3" s="1"/>
  <c r="Z28" i="3" l="1"/>
  <c r="U28" i="3"/>
  <c r="V28" i="3"/>
  <c r="Y28" i="3"/>
  <c r="U27" i="3"/>
  <c r="Z27" i="3"/>
  <c r="Y27" i="3"/>
  <c r="V27" i="3"/>
  <c r="W28" i="1"/>
  <c r="AP28" i="1"/>
  <c r="AO28" i="1"/>
  <c r="X28" i="1"/>
  <c r="AQ28" i="1"/>
  <c r="B29" i="1"/>
  <c r="D29" i="1" s="1"/>
  <c r="AN28" i="1"/>
  <c r="V25" i="1"/>
  <c r="Z25" i="1"/>
  <c r="U25" i="1"/>
  <c r="Y25" i="1"/>
  <c r="AR27" i="1"/>
  <c r="AV27" i="1" s="1"/>
  <c r="AX27" i="1"/>
  <c r="AY26" i="1"/>
  <c r="AZ26" i="1" s="1"/>
  <c r="AS26" i="1"/>
  <c r="AT26" i="1" s="1"/>
  <c r="AR29" i="3"/>
  <c r="AX29" i="3"/>
  <c r="AY28" i="3"/>
  <c r="AZ28" i="3" s="1"/>
  <c r="AS28" i="3"/>
  <c r="AT28" i="3" s="1"/>
  <c r="AQ30" i="3"/>
  <c r="AP30" i="3"/>
  <c r="W30" i="3"/>
  <c r="X30" i="3"/>
  <c r="AO30" i="3"/>
  <c r="D30" i="3"/>
  <c r="B31" i="3"/>
  <c r="AN30" i="3"/>
  <c r="AV26" i="1"/>
  <c r="AW26" i="1" s="1"/>
  <c r="V26" i="3"/>
  <c r="U26" i="3"/>
  <c r="Y26" i="3"/>
  <c r="Z26" i="3"/>
  <c r="AU27" i="1" l="1"/>
  <c r="AW27" i="1" s="1"/>
  <c r="AP31" i="3"/>
  <c r="X31" i="3"/>
  <c r="W31" i="3"/>
  <c r="AQ31" i="3"/>
  <c r="AO31" i="3"/>
  <c r="AN31" i="3"/>
  <c r="B32" i="3"/>
  <c r="D31" i="3"/>
  <c r="AS29" i="3"/>
  <c r="AT29" i="3" s="1"/>
  <c r="AY29" i="3"/>
  <c r="AZ29" i="3" s="1"/>
  <c r="AU29" i="3"/>
  <c r="AW29" i="3" s="1"/>
  <c r="AR28" i="1"/>
  <c r="AU28" i="1" s="1"/>
  <c r="AX28" i="1"/>
  <c r="AX30" i="3"/>
  <c r="AR30" i="3"/>
  <c r="AU30" i="3"/>
  <c r="AV29" i="3"/>
  <c r="Y26" i="1"/>
  <c r="V26" i="1"/>
  <c r="U26" i="1"/>
  <c r="Z26" i="1"/>
  <c r="AS27" i="1"/>
  <c r="AT27" i="1" s="1"/>
  <c r="AY27" i="1"/>
  <c r="AZ27" i="1" s="1"/>
  <c r="X29" i="1"/>
  <c r="W29" i="1"/>
  <c r="AN29" i="1"/>
  <c r="AQ29" i="1"/>
  <c r="B30" i="1"/>
  <c r="D30" i="1" s="1"/>
  <c r="AP29" i="1"/>
  <c r="AO29" i="1"/>
  <c r="AS30" i="3" l="1"/>
  <c r="AT30" i="3" s="1"/>
  <c r="AY30" i="3"/>
  <c r="AZ30" i="3" s="1"/>
  <c r="Y27" i="1"/>
  <c r="Z27" i="1"/>
  <c r="U27" i="1"/>
  <c r="V27" i="1"/>
  <c r="V29" i="3"/>
  <c r="Y29" i="3"/>
  <c r="Z29" i="3"/>
  <c r="U29" i="3"/>
  <c r="AV30" i="3"/>
  <c r="AY28" i="1"/>
  <c r="AZ28" i="1" s="1"/>
  <c r="AS28" i="1"/>
  <c r="AT28" i="1" s="1"/>
  <c r="B33" i="3"/>
  <c r="D32" i="3"/>
  <c r="AP32" i="3"/>
  <c r="AQ32" i="3"/>
  <c r="AN32" i="3"/>
  <c r="W32" i="3"/>
  <c r="X32" i="3"/>
  <c r="AO32" i="3"/>
  <c r="AN30" i="1"/>
  <c r="W30" i="1"/>
  <c r="AQ30" i="1"/>
  <c r="X30" i="1"/>
  <c r="AP30" i="1"/>
  <c r="B31" i="1"/>
  <c r="D31" i="1" s="1"/>
  <c r="AO30" i="1"/>
  <c r="AW30" i="3"/>
  <c r="AX29" i="1"/>
  <c r="AR29" i="1"/>
  <c r="AV29" i="1" s="1"/>
  <c r="AV28" i="1"/>
  <c r="AW28" i="1" s="1"/>
  <c r="AX31" i="3"/>
  <c r="AR31" i="3"/>
  <c r="AU29" i="1" l="1"/>
  <c r="Z28" i="1"/>
  <c r="Y28" i="1"/>
  <c r="U28" i="1"/>
  <c r="V28" i="1"/>
  <c r="AX32" i="3"/>
  <c r="AR32" i="3"/>
  <c r="AU32" i="3" s="1"/>
  <c r="AS31" i="3"/>
  <c r="AT31" i="3" s="1"/>
  <c r="AY31" i="3"/>
  <c r="AZ31" i="3" s="1"/>
  <c r="AW29" i="1"/>
  <c r="U30" i="3"/>
  <c r="V30" i="3"/>
  <c r="Y30" i="3"/>
  <c r="Z30" i="3"/>
  <c r="AX30" i="1"/>
  <c r="AR30" i="1"/>
  <c r="AN33" i="3"/>
  <c r="AO33" i="3"/>
  <c r="B34" i="3"/>
  <c r="AQ33" i="3"/>
  <c r="X33" i="3"/>
  <c r="W33" i="3"/>
  <c r="D33" i="3"/>
  <c r="AP33" i="3"/>
  <c r="AU31" i="3"/>
  <c r="AV31" i="3"/>
  <c r="AY29" i="1"/>
  <c r="AZ29" i="1" s="1"/>
  <c r="AS29" i="1"/>
  <c r="AT29" i="1" s="1"/>
  <c r="X31" i="1"/>
  <c r="AP31" i="1"/>
  <c r="AN31" i="1"/>
  <c r="W31" i="1"/>
  <c r="AO31" i="1"/>
  <c r="AQ31" i="1"/>
  <c r="B32" i="1"/>
  <c r="D32" i="1" s="1"/>
  <c r="W34" i="3" l="1"/>
  <c r="X34" i="3"/>
  <c r="D34" i="3"/>
  <c r="B35" i="3"/>
  <c r="AP34" i="3"/>
  <c r="AO34" i="3"/>
  <c r="AN34" i="3"/>
  <c r="AQ34" i="3"/>
  <c r="AS30" i="1"/>
  <c r="AT30" i="1" s="1"/>
  <c r="AY30" i="1"/>
  <c r="AZ30" i="1" s="1"/>
  <c r="V29" i="1"/>
  <c r="U29" i="1"/>
  <c r="Y29" i="1"/>
  <c r="Z29" i="1"/>
  <c r="X32" i="1"/>
  <c r="AO32" i="1"/>
  <c r="W32" i="1"/>
  <c r="AP32" i="1"/>
  <c r="B33" i="1"/>
  <c r="D33" i="1" s="1"/>
  <c r="AN32" i="1"/>
  <c r="AQ32" i="1"/>
  <c r="AW31" i="3"/>
  <c r="AV32" i="3"/>
  <c r="AW32" i="3" s="1"/>
  <c r="AX31" i="1"/>
  <c r="AR31" i="1"/>
  <c r="AU31" i="1" s="1"/>
  <c r="AV30" i="1"/>
  <c r="AY32" i="3"/>
  <c r="AZ32" i="3" s="1"/>
  <c r="AS32" i="3"/>
  <c r="AT32" i="3" s="1"/>
  <c r="AR33" i="3"/>
  <c r="AU33" i="3"/>
  <c r="AW33" i="3" s="1"/>
  <c r="AV33" i="3"/>
  <c r="AX33" i="3"/>
  <c r="AU30" i="1"/>
  <c r="AV31" i="1" l="1"/>
  <c r="AW31" i="1"/>
  <c r="V31" i="1" s="1"/>
  <c r="V32" i="3"/>
  <c r="U32" i="3"/>
  <c r="Z32" i="3"/>
  <c r="Y32" i="3"/>
  <c r="AP35" i="3"/>
  <c r="AQ35" i="3"/>
  <c r="AN35" i="3"/>
  <c r="W35" i="3"/>
  <c r="X35" i="3"/>
  <c r="D35" i="3"/>
  <c r="B36" i="3"/>
  <c r="AO35" i="3"/>
  <c r="Z33" i="3"/>
  <c r="Y33" i="3"/>
  <c r="U33" i="3"/>
  <c r="V33" i="3"/>
  <c r="V31" i="3"/>
  <c r="Z31" i="3"/>
  <c r="U31" i="3"/>
  <c r="Y31" i="3"/>
  <c r="AW30" i="1"/>
  <c r="AY33" i="3"/>
  <c r="AZ33" i="3" s="1"/>
  <c r="AS33" i="3"/>
  <c r="AT33" i="3" s="1"/>
  <c r="AY31" i="1"/>
  <c r="AZ31" i="1" s="1"/>
  <c r="AS31" i="1"/>
  <c r="AT31" i="1" s="1"/>
  <c r="AX32" i="1"/>
  <c r="AR32" i="1"/>
  <c r="AV32" i="1" s="1"/>
  <c r="W33" i="1"/>
  <c r="AP33" i="1"/>
  <c r="B34" i="1"/>
  <c r="D34" i="1" s="1"/>
  <c r="AN33" i="1"/>
  <c r="X33" i="1"/>
  <c r="AQ33" i="1"/>
  <c r="AO33" i="1"/>
  <c r="AR34" i="3"/>
  <c r="AV34" i="3"/>
  <c r="AU34" i="3"/>
  <c r="AW34" i="3" s="1"/>
  <c r="AX34" i="3"/>
  <c r="Z31" i="1" l="1"/>
  <c r="Y31" i="1"/>
  <c r="U31" i="1"/>
  <c r="V34" i="3"/>
  <c r="Z34" i="3"/>
  <c r="Y34" i="3"/>
  <c r="U34" i="3"/>
  <c r="B37" i="3"/>
  <c r="D36" i="3"/>
  <c r="W36" i="3"/>
  <c r="AP36" i="3"/>
  <c r="AO36" i="3"/>
  <c r="AN36" i="3"/>
  <c r="X36" i="3"/>
  <c r="AQ36" i="3"/>
  <c r="AX35" i="3"/>
  <c r="AR35" i="3"/>
  <c r="AU35" i="3" s="1"/>
  <c r="AY32" i="1"/>
  <c r="AZ32" i="1" s="1"/>
  <c r="AS32" i="1"/>
  <c r="AT32" i="1" s="1"/>
  <c r="AY34" i="3"/>
  <c r="AZ34" i="3" s="1"/>
  <c r="AS34" i="3"/>
  <c r="AT34" i="3" s="1"/>
  <c r="AX33" i="1"/>
  <c r="AR33" i="1"/>
  <c r="AU33" i="1" s="1"/>
  <c r="B35" i="1"/>
  <c r="D35" i="1" s="1"/>
  <c r="AQ34" i="1"/>
  <c r="AP34" i="1"/>
  <c r="X34" i="1"/>
  <c r="AN34" i="1"/>
  <c r="AO34" i="1"/>
  <c r="W34" i="1"/>
  <c r="AU32" i="1"/>
  <c r="AW32" i="1" s="1"/>
  <c r="V30" i="1"/>
  <c r="U30" i="1"/>
  <c r="Z30" i="1"/>
  <c r="Y30" i="1"/>
  <c r="AR36" i="3" l="1"/>
  <c r="AX36" i="3"/>
  <c r="AV36" i="3"/>
  <c r="AX34" i="1"/>
  <c r="AR34" i="1"/>
  <c r="AY33" i="1"/>
  <c r="AZ33" i="1" s="1"/>
  <c r="AS33" i="1"/>
  <c r="AT33" i="1" s="1"/>
  <c r="AY35" i="3"/>
  <c r="AZ35" i="3" s="1"/>
  <c r="AS35" i="3"/>
  <c r="AT35" i="3" s="1"/>
  <c r="W35" i="1"/>
  <c r="AO35" i="1"/>
  <c r="B36" i="1"/>
  <c r="D36" i="1" s="1"/>
  <c r="AQ35" i="1"/>
  <c r="X35" i="1"/>
  <c r="AP35" i="1"/>
  <c r="AN35" i="1"/>
  <c r="Z32" i="1"/>
  <c r="V32" i="1"/>
  <c r="Y32" i="1"/>
  <c r="U32" i="1"/>
  <c r="AV33" i="1"/>
  <c r="AW33" i="1" s="1"/>
  <c r="AV35" i="3"/>
  <c r="AW35" i="3" s="1"/>
  <c r="X37" i="3"/>
  <c r="W37" i="3"/>
  <c r="B38" i="3"/>
  <c r="AQ37" i="3"/>
  <c r="D37" i="3"/>
  <c r="AP37" i="3"/>
  <c r="AN37" i="3"/>
  <c r="AO37" i="3"/>
  <c r="Y33" i="1" l="1"/>
  <c r="Z33" i="1"/>
  <c r="V33" i="1"/>
  <c r="U33" i="1"/>
  <c r="Y35" i="3"/>
  <c r="V35" i="3"/>
  <c r="Z35" i="3"/>
  <c r="U35" i="3"/>
  <c r="AS34" i="1"/>
  <c r="AT34" i="1" s="1"/>
  <c r="AY34" i="1"/>
  <c r="AZ34" i="1" s="1"/>
  <c r="AQ38" i="3"/>
  <c r="AP38" i="3"/>
  <c r="B39" i="3"/>
  <c r="AN38" i="3"/>
  <c r="AO38" i="3"/>
  <c r="D38" i="3"/>
  <c r="AM38" i="3"/>
  <c r="AN36" i="1"/>
  <c r="B37" i="1"/>
  <c r="D37" i="1" s="1"/>
  <c r="W36" i="1"/>
  <c r="AP36" i="1"/>
  <c r="AO36" i="1"/>
  <c r="AQ36" i="1"/>
  <c r="X36" i="1"/>
  <c r="AV34" i="1"/>
  <c r="AY36" i="3"/>
  <c r="AZ36" i="3" s="1"/>
  <c r="AS36" i="3"/>
  <c r="AT36" i="3" s="1"/>
  <c r="AX35" i="1"/>
  <c r="AR35" i="1"/>
  <c r="AU35" i="1" s="1"/>
  <c r="AV37" i="3"/>
  <c r="AX37" i="3"/>
  <c r="AR37" i="3"/>
  <c r="AU37" i="3" s="1"/>
  <c r="AW37" i="3" s="1"/>
  <c r="AU34" i="1"/>
  <c r="AU36" i="3"/>
  <c r="AW36" i="3" s="1"/>
  <c r="AV35" i="1" l="1"/>
  <c r="AW34" i="1"/>
  <c r="U34" i="1" s="1"/>
  <c r="Z37" i="3"/>
  <c r="U37" i="3"/>
  <c r="Y37" i="3"/>
  <c r="V37" i="3"/>
  <c r="M38" i="3"/>
  <c r="N38" i="3"/>
  <c r="AN39" i="3"/>
  <c r="AM39" i="3"/>
  <c r="AP39" i="3"/>
  <c r="X39" i="3"/>
  <c r="B40" i="3"/>
  <c r="W39" i="3"/>
  <c r="AQ39" i="3"/>
  <c r="AO39" i="3"/>
  <c r="D39" i="3"/>
  <c r="AS35" i="1"/>
  <c r="AT35" i="1" s="1"/>
  <c r="AY35" i="1"/>
  <c r="AZ35" i="1" s="1"/>
  <c r="Y36" i="3"/>
  <c r="U36" i="3"/>
  <c r="V36" i="3"/>
  <c r="Z36" i="3"/>
  <c r="AX38" i="3"/>
  <c r="AR38" i="3"/>
  <c r="AW35" i="1"/>
  <c r="X38" i="3"/>
  <c r="AX36" i="1"/>
  <c r="AR36" i="1"/>
  <c r="AY37" i="3"/>
  <c r="AZ37" i="3" s="1"/>
  <c r="AS37" i="3"/>
  <c r="AT37" i="3" s="1"/>
  <c r="AN37" i="1"/>
  <c r="W37" i="1"/>
  <c r="AQ37" i="1"/>
  <c r="AP37" i="1"/>
  <c r="AO37" i="1"/>
  <c r="B38" i="1"/>
  <c r="D38" i="1" s="1"/>
  <c r="X37" i="1"/>
  <c r="W38" i="3"/>
  <c r="V34" i="1" l="1"/>
  <c r="Z34" i="1"/>
  <c r="Y34" i="1"/>
  <c r="AS36" i="1"/>
  <c r="AT36" i="1" s="1"/>
  <c r="AY36" i="1"/>
  <c r="AZ36" i="1" s="1"/>
  <c r="AY38" i="3"/>
  <c r="AZ38" i="3" s="1"/>
  <c r="AS38" i="3"/>
  <c r="AT38" i="3" s="1"/>
  <c r="AR39" i="3"/>
  <c r="AX39" i="3"/>
  <c r="AV39" i="3"/>
  <c r="AU39" i="3"/>
  <c r="AW39" i="3" s="1"/>
  <c r="N39" i="3"/>
  <c r="M39" i="3"/>
  <c r="AR37" i="1"/>
  <c r="AU37" i="1" s="1"/>
  <c r="AX37" i="1"/>
  <c r="AV36" i="1"/>
  <c r="Y35" i="1"/>
  <c r="Z35" i="1"/>
  <c r="U35" i="1"/>
  <c r="V35" i="1"/>
  <c r="AV38" i="3"/>
  <c r="B39" i="1"/>
  <c r="D39" i="1" s="1"/>
  <c r="AO38" i="1"/>
  <c r="AN38" i="1"/>
  <c r="AM38" i="1"/>
  <c r="W38" i="1" s="1"/>
  <c r="AP38" i="1"/>
  <c r="AQ38" i="1"/>
  <c r="AU36" i="1"/>
  <c r="AW36" i="1" s="1"/>
  <c r="AU38" i="3"/>
  <c r="AO40" i="3"/>
  <c r="AP40" i="3"/>
  <c r="AQ40" i="3"/>
  <c r="AN40" i="3"/>
  <c r="AM40" i="3"/>
  <c r="X40" i="3"/>
  <c r="X41" i="3" s="1"/>
  <c r="W40" i="3"/>
  <c r="W41" i="3" s="1"/>
  <c r="D40" i="3"/>
  <c r="Q38" i="3"/>
  <c r="R38" i="3"/>
  <c r="X38" i="1" l="1"/>
  <c r="AR40" i="3"/>
  <c r="AV40" i="3"/>
  <c r="AX40" i="3"/>
  <c r="AW38" i="3"/>
  <c r="M38" i="1"/>
  <c r="N38" i="1"/>
  <c r="Q39" i="3"/>
  <c r="R39" i="3"/>
  <c r="AS37" i="1"/>
  <c r="AT37" i="1" s="1"/>
  <c r="AY37" i="1"/>
  <c r="AZ37" i="1" s="1"/>
  <c r="Z39" i="3"/>
  <c r="Y39" i="3"/>
  <c r="U39" i="3"/>
  <c r="V39" i="3"/>
  <c r="N40" i="3"/>
  <c r="M40" i="3"/>
  <c r="Y36" i="1"/>
  <c r="V36" i="1"/>
  <c r="U36" i="1"/>
  <c r="Z36" i="1"/>
  <c r="AR38" i="1"/>
  <c r="AV38" i="1" s="1"/>
  <c r="AX38" i="1"/>
  <c r="B40" i="1"/>
  <c r="AP39" i="1"/>
  <c r="AO39" i="1"/>
  <c r="AN39" i="1"/>
  <c r="AQ39" i="1"/>
  <c r="AM39" i="1"/>
  <c r="W39" i="1" s="1"/>
  <c r="AV37" i="1"/>
  <c r="AW37" i="1" s="1"/>
  <c r="AS39" i="3"/>
  <c r="AT39" i="3" s="1"/>
  <c r="AY39" i="3"/>
  <c r="AZ39" i="3" s="1"/>
  <c r="Y37" i="1" l="1"/>
  <c r="Z37" i="1"/>
  <c r="U37" i="1"/>
  <c r="V37" i="1"/>
  <c r="U38" i="3"/>
  <c r="Y38" i="3"/>
  <c r="Z38" i="3"/>
  <c r="V38" i="3"/>
  <c r="AS40" i="3"/>
  <c r="AT40" i="3" s="1"/>
  <c r="AY40" i="3"/>
  <c r="AZ40" i="3" s="1"/>
  <c r="N39" i="1"/>
  <c r="M39" i="1"/>
  <c r="AO40" i="1"/>
  <c r="AP40" i="1"/>
  <c r="AM40" i="1"/>
  <c r="AQ40" i="1"/>
  <c r="AN40" i="1"/>
  <c r="X39" i="1"/>
  <c r="R40" i="3"/>
  <c r="R41" i="3" s="1"/>
  <c r="T41" i="3" s="1"/>
  <c r="Q40" i="3"/>
  <c r="AU40" i="3"/>
  <c r="AW40" i="3" s="1"/>
  <c r="R38" i="1"/>
  <c r="Q38" i="1"/>
  <c r="AY38" i="1"/>
  <c r="AZ38" i="1" s="1"/>
  <c r="AS38" i="1"/>
  <c r="AT38" i="1" s="1"/>
  <c r="AX39" i="1"/>
  <c r="AR39" i="1"/>
  <c r="AU39" i="1" s="1"/>
  <c r="AU38" i="1"/>
  <c r="AW38" i="1" s="1"/>
  <c r="M40" i="1" l="1"/>
  <c r="N40" i="1"/>
  <c r="AV39" i="1"/>
  <c r="AW39" i="1" s="1"/>
  <c r="U40" i="3"/>
  <c r="U41" i="3" s="1"/>
  <c r="Z40" i="3"/>
  <c r="Z41" i="3" s="1"/>
  <c r="Y40" i="3"/>
  <c r="Y41" i="3" s="1"/>
  <c r="V40" i="3"/>
  <c r="V41" i="3" s="1"/>
  <c r="AX40" i="1"/>
  <c r="AR40" i="1"/>
  <c r="AU40" i="1" s="1"/>
  <c r="R39" i="1"/>
  <c r="Q39" i="1"/>
  <c r="Z3" i="3"/>
  <c r="Q41" i="3"/>
  <c r="S41" i="3" s="1"/>
  <c r="W40" i="1"/>
  <c r="X40" i="1"/>
  <c r="X41" i="1" s="1"/>
  <c r="Y38" i="1"/>
  <c r="U38" i="1"/>
  <c r="V38" i="1"/>
  <c r="Z38" i="1"/>
  <c r="AS39" i="1"/>
  <c r="AT39" i="1" s="1"/>
  <c r="AY39" i="1"/>
  <c r="AZ39" i="1" s="1"/>
  <c r="AV40" i="1" l="1"/>
  <c r="AW40" i="1" s="1"/>
  <c r="W41" i="1"/>
  <c r="Y39" i="1"/>
  <c r="U39" i="1"/>
  <c r="Z39" i="1"/>
  <c r="V39" i="1"/>
  <c r="AS40" i="1"/>
  <c r="AT40" i="1" s="1"/>
  <c r="AY40" i="1"/>
  <c r="AZ40" i="1" s="1"/>
  <c r="Q40" i="1"/>
  <c r="Z3" i="1" s="1"/>
  <c r="R40" i="1"/>
  <c r="R41" i="1" s="1"/>
  <c r="T41" i="1" s="1"/>
  <c r="Y40" i="1" l="1"/>
  <c r="Z40" i="1"/>
  <c r="V40" i="1"/>
  <c r="U40" i="1"/>
  <c r="U41" i="1" s="1"/>
  <c r="Q41" i="1"/>
  <c r="S41" i="1" s="1"/>
  <c r="Z41" i="1"/>
  <c r="V41" i="1"/>
  <c r="Y41" i="1" l="1"/>
</calcChain>
</file>

<file path=xl/comments1.xml><?xml version="1.0" encoding="utf-8"?>
<comments xmlns="http://schemas.openxmlformats.org/spreadsheetml/2006/main">
  <authors>
    <author>IE070441</author>
    <author>i-enter</author>
  </authors>
  <commentList>
    <comment ref="A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所属部署選択リスト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休暇選択リスト</t>
        </r>
      </text>
    </comment>
    <comment ref="A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休暇理由カウント</t>
        </r>
      </text>
    </comment>
    <comment ref="A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休出選択リスト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休出理由カウント</t>
        </r>
      </text>
    </comment>
    <comment ref="AM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開始・終了入力判定
すべて入力されていればTRUE</t>
        </r>
      </text>
    </comment>
    <comment ref="AN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深夜終了時刻</t>
        </r>
      </text>
    </comment>
    <comment ref="AO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深夜開始時刻</t>
        </r>
      </text>
    </comment>
    <comment ref="AP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翌日深夜終了時刻</t>
        </r>
      </text>
    </comment>
    <comment ref="AQ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開始時刻調整</t>
        </r>
      </text>
    </comment>
    <comment ref="AR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終了時刻調整</t>
        </r>
      </text>
    </comment>
    <comment ref="AS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就業時間計算</t>
        </r>
      </text>
    </comment>
    <comment ref="AT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実働時間計算</t>
        </r>
      </text>
    </comment>
    <comment ref="AU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5時までの深夜時間計算</t>
        </r>
      </text>
    </comment>
    <comment ref="AV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22時以降の深夜時間計算</t>
        </r>
      </text>
    </comment>
    <comment ref="AW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深夜時間の合計</t>
        </r>
      </text>
    </comment>
    <comment ref="AX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休日時間計算用の開始時刻</t>
        </r>
      </text>
    </comment>
    <comment ref="AY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休日時間計算用の終了時刻</t>
        </r>
      </text>
    </comment>
    <comment ref="AZ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休日時間の計算</t>
        </r>
      </text>
    </comment>
    <comment ref="BA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開始・終了・休憩時間の入力チェック
すべて未入力の場合、TRUE</t>
        </r>
      </text>
    </comment>
    <comment ref="BB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開始・終了・休憩の入力チェック
すべて入力されていれば、TRUE</t>
        </r>
      </text>
    </comment>
    <comment ref="BC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開始・終了・休憩の入力状態チェック
すべて入力されているか、すべて未入力の場合、FALSE</t>
        </r>
      </text>
    </comment>
    <comment ref="BD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有給、慶弔、振休
+8時間</t>
        </r>
      </text>
    </comment>
    <comment ref="BE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時間有休、時間振休</t>
        </r>
      </text>
    </comment>
    <comment ref="BF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振休取得
-8時間</t>
        </r>
      </text>
    </comment>
    <comment ref="BG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半振休取得
-4時間</t>
        </r>
      </text>
    </comment>
    <comment ref="BH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調整時間</t>
        </r>
      </text>
    </comment>
  </commentList>
</comments>
</file>

<file path=xl/comments2.xml><?xml version="1.0" encoding="utf-8"?>
<comments xmlns="http://schemas.openxmlformats.org/spreadsheetml/2006/main">
  <authors>
    <author>IE070441</author>
    <author>i-enter</author>
  </authors>
  <commentList>
    <comment ref="A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所属部署選択リスト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休暇選択リスト</t>
        </r>
      </text>
    </comment>
    <comment ref="A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休暇理由カウント</t>
        </r>
      </text>
    </comment>
    <comment ref="A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休出選択リスト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休出理由カウント</t>
        </r>
      </text>
    </comment>
    <comment ref="AM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開始・終了入力判定
すべて入力されていればTRUE</t>
        </r>
      </text>
    </comment>
    <comment ref="AN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深夜終了時刻</t>
        </r>
      </text>
    </comment>
    <comment ref="AO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深夜開始時刻</t>
        </r>
      </text>
    </comment>
    <comment ref="AP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翌日深夜終了時刻</t>
        </r>
      </text>
    </comment>
    <comment ref="AQ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開始時刻調整</t>
        </r>
      </text>
    </comment>
    <comment ref="AR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終了時刻調整</t>
        </r>
      </text>
    </comment>
    <comment ref="AS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就業時間計算</t>
        </r>
      </text>
    </comment>
    <comment ref="AT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実働時間計算</t>
        </r>
      </text>
    </comment>
    <comment ref="AU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5時までの深夜時間計算</t>
        </r>
      </text>
    </comment>
    <comment ref="AV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22時以降の深夜時間計算</t>
        </r>
      </text>
    </comment>
    <comment ref="AW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深夜時間の合計</t>
        </r>
      </text>
    </comment>
    <comment ref="AX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休日時間計算用の開始時刻</t>
        </r>
      </text>
    </comment>
    <comment ref="AY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休日時間計算用の終了時刻</t>
        </r>
      </text>
    </comment>
    <comment ref="AZ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休日時間の計算</t>
        </r>
      </text>
    </comment>
    <comment ref="BA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開始・終了・休憩時間の入力チェック
すべて未入力の場合、TRUE</t>
        </r>
      </text>
    </comment>
    <comment ref="BB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開始・終了・休憩の入力チェック
すべて入力されていれば、TRUE</t>
        </r>
      </text>
    </comment>
    <comment ref="BC1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開始・終了・休憩の入力状態チェック
すべて入力されているか、すべて未入力の場合、FALSE</t>
        </r>
      </text>
    </comment>
    <comment ref="BD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有給、慶弔、振休
+8時間</t>
        </r>
      </text>
    </comment>
    <comment ref="BE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時間有休、時間振休</t>
        </r>
      </text>
    </comment>
    <comment ref="BF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振休取得
-8時間</t>
        </r>
      </text>
    </comment>
    <comment ref="BG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半振休取得
-4時間</t>
        </r>
      </text>
    </comment>
    <comment ref="BH10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調整時間</t>
        </r>
      </text>
    </comment>
  </commentList>
</comments>
</file>

<file path=xl/sharedStrings.xml><?xml version="1.0" encoding="utf-8"?>
<sst xmlns="http://schemas.openxmlformats.org/spreadsheetml/2006/main" count="127" uniqueCount="60">
  <si>
    <t>年</t>
    <rPh sb="0" eb="1">
      <t>ネン</t>
    </rPh>
    <phoneticPr fontId="3"/>
  </si>
  <si>
    <t>月度</t>
    <rPh sb="0" eb="2">
      <t>ガツド</t>
    </rPh>
    <phoneticPr fontId="3"/>
  </si>
  <si>
    <t>有休</t>
    <rPh sb="0" eb="2">
      <t>ユウキュウ</t>
    </rPh>
    <phoneticPr fontId="3"/>
  </si>
  <si>
    <t>残業</t>
    <rPh sb="0" eb="2">
      <t>ザンギョウ</t>
    </rPh>
    <phoneticPr fontId="3"/>
  </si>
  <si>
    <t>所属部署</t>
    <rPh sb="0" eb="2">
      <t>ショゾク</t>
    </rPh>
    <rPh sb="2" eb="4">
      <t>ブショ</t>
    </rPh>
    <phoneticPr fontId="3"/>
  </si>
  <si>
    <t>出勤日数</t>
    <rPh sb="0" eb="2">
      <t>シュッキン</t>
    </rPh>
    <rPh sb="2" eb="4">
      <t>ニッスウ</t>
    </rPh>
    <phoneticPr fontId="3"/>
  </si>
  <si>
    <t>振休</t>
    <rPh sb="0" eb="1">
      <t>シン</t>
    </rPh>
    <rPh sb="1" eb="2">
      <t>キュウ</t>
    </rPh>
    <phoneticPr fontId="3"/>
  </si>
  <si>
    <t>氏名</t>
    <rPh sb="0" eb="2">
      <t>シメイ</t>
    </rPh>
    <phoneticPr fontId="3"/>
  </si>
  <si>
    <t>振休取得</t>
    <rPh sb="0" eb="1">
      <t>オサム</t>
    </rPh>
    <rPh sb="1" eb="2">
      <t>ヤス</t>
    </rPh>
    <rPh sb="2" eb="4">
      <t>シュトク</t>
    </rPh>
    <phoneticPr fontId="3"/>
  </si>
  <si>
    <t>作業場所</t>
    <rPh sb="0" eb="2">
      <t>サギョウ</t>
    </rPh>
    <rPh sb="2" eb="4">
      <t>バショ</t>
    </rPh>
    <phoneticPr fontId="3"/>
  </si>
  <si>
    <t>欠勤</t>
    <rPh sb="0" eb="2">
      <t>ケッキン</t>
    </rPh>
    <phoneticPr fontId="3"/>
  </si>
  <si>
    <t>管理本部</t>
    <rPh sb="0" eb="2">
      <t>カンリ</t>
    </rPh>
    <rPh sb="2" eb="4">
      <t>ホンブ</t>
    </rPh>
    <phoneticPr fontId="3"/>
  </si>
  <si>
    <t>プロジェクト名</t>
    <rPh sb="6" eb="7">
      <t>メイ</t>
    </rPh>
    <phoneticPr fontId="3"/>
  </si>
  <si>
    <t>慶弔</t>
    <rPh sb="0" eb="2">
      <t>ケイチョウ</t>
    </rPh>
    <phoneticPr fontId="3"/>
  </si>
  <si>
    <t>その他</t>
    <rPh sb="2" eb="3">
      <t>タ</t>
    </rPh>
    <phoneticPr fontId="3"/>
  </si>
  <si>
    <t>日付</t>
    <rPh sb="0" eb="2">
      <t>ヒヅケ</t>
    </rPh>
    <phoneticPr fontId="3"/>
  </si>
  <si>
    <t>休暇選択</t>
    <rPh sb="0" eb="2">
      <t>キュウカ</t>
    </rPh>
    <rPh sb="2" eb="4">
      <t>センタク</t>
    </rPh>
    <phoneticPr fontId="3"/>
  </si>
  <si>
    <t>休出選択</t>
    <rPh sb="0" eb="1">
      <t>キュウ</t>
    </rPh>
    <rPh sb="1" eb="2">
      <t>デ</t>
    </rPh>
    <rPh sb="2" eb="4">
      <t>センタク</t>
    </rPh>
    <phoneticPr fontId="3"/>
  </si>
  <si>
    <t>開始時刻</t>
    <rPh sb="0" eb="2">
      <t>カイシ</t>
    </rPh>
    <rPh sb="2" eb="4">
      <t>ジコク</t>
    </rPh>
    <phoneticPr fontId="3"/>
  </si>
  <si>
    <t>終了時刻</t>
    <rPh sb="0" eb="2">
      <t>シュウリョウ</t>
    </rPh>
    <rPh sb="2" eb="4">
      <t>ジコク</t>
    </rPh>
    <phoneticPr fontId="3"/>
  </si>
  <si>
    <t>就業時間</t>
    <rPh sb="0" eb="2">
      <t>シュウギョウ</t>
    </rPh>
    <rPh sb="2" eb="4">
      <t>ジカン</t>
    </rPh>
    <phoneticPr fontId="3"/>
  </si>
  <si>
    <t>休憩時間</t>
    <rPh sb="0" eb="2">
      <t>キュウケイ</t>
    </rPh>
    <rPh sb="2" eb="4">
      <t>ジカン</t>
    </rPh>
    <phoneticPr fontId="3"/>
  </si>
  <si>
    <t>実働時間</t>
    <rPh sb="0" eb="2">
      <t>ジツドウ</t>
    </rPh>
    <rPh sb="2" eb="4">
      <t>ジカン</t>
    </rPh>
    <phoneticPr fontId="3"/>
  </si>
  <si>
    <t>深夜時間</t>
    <rPh sb="0" eb="2">
      <t>シンヤ</t>
    </rPh>
    <rPh sb="2" eb="4">
      <t>ジカン</t>
    </rPh>
    <phoneticPr fontId="3"/>
  </si>
  <si>
    <t>休日時間</t>
    <rPh sb="0" eb="2">
      <t>キュウジツ</t>
    </rPh>
    <rPh sb="2" eb="4">
      <t>ジカン</t>
    </rPh>
    <phoneticPr fontId="3"/>
  </si>
  <si>
    <t>休日深夜</t>
    <rPh sb="0" eb="2">
      <t>キュウジツ</t>
    </rPh>
    <rPh sb="2" eb="4">
      <t>シンヤ</t>
    </rPh>
    <phoneticPr fontId="3"/>
  </si>
  <si>
    <t>備考</t>
    <rPh sb="0" eb="2">
      <t>ビコウ</t>
    </rPh>
    <phoneticPr fontId="3"/>
  </si>
  <si>
    <t>合計</t>
    <rPh sb="0" eb="2">
      <t>ゴウケイ</t>
    </rPh>
    <phoneticPr fontId="3"/>
  </si>
  <si>
    <t>【注】</t>
    <rPh sb="1" eb="2">
      <t>チュウ</t>
    </rPh>
    <phoneticPr fontId="4"/>
  </si>
  <si>
    <t>1：</t>
  </si>
  <si>
    <t>基本就業時間は下記時間帯とする</t>
    <rPh sb="0" eb="2">
      <t>キホン</t>
    </rPh>
    <rPh sb="2" eb="4">
      <t>シュウギョウ</t>
    </rPh>
    <rPh sb="4" eb="6">
      <t>ジカン</t>
    </rPh>
    <rPh sb="7" eb="9">
      <t>カキ</t>
    </rPh>
    <rPh sb="9" eb="12">
      <t>ジカンタイ</t>
    </rPh>
    <phoneticPr fontId="4"/>
  </si>
  <si>
    <t>基本就業時間　：　開始時刻　９時００分　終了時刻　１８時００分</t>
    <rPh sb="0" eb="2">
      <t>キホン</t>
    </rPh>
    <rPh sb="2" eb="4">
      <t>シュウギョウ</t>
    </rPh>
    <rPh sb="4" eb="5">
      <t>ジ</t>
    </rPh>
    <rPh sb="5" eb="6">
      <t>カン</t>
    </rPh>
    <rPh sb="9" eb="11">
      <t>カイシ</t>
    </rPh>
    <rPh sb="11" eb="13">
      <t>ジコク</t>
    </rPh>
    <rPh sb="15" eb="16">
      <t>ジ</t>
    </rPh>
    <rPh sb="18" eb="19">
      <t>フン</t>
    </rPh>
    <rPh sb="20" eb="22">
      <t>シュウリョウ</t>
    </rPh>
    <rPh sb="22" eb="24">
      <t>ジコク</t>
    </rPh>
    <rPh sb="25" eb="28">
      <t>１８ジ</t>
    </rPh>
    <rPh sb="30" eb="31">
      <t>プン</t>
    </rPh>
    <phoneticPr fontId="4"/>
  </si>
  <si>
    <t>休憩時間　：　［昼］　１２時００分　～　１３時００分〔1h〕　</t>
    <rPh sb="0" eb="2">
      <t>キュウケイ</t>
    </rPh>
    <rPh sb="2" eb="4">
      <t>ジカン</t>
    </rPh>
    <rPh sb="8" eb="9">
      <t>ヒルヤス</t>
    </rPh>
    <rPh sb="11" eb="14">
      <t>１２ジ</t>
    </rPh>
    <rPh sb="14" eb="17">
      <t>００フン</t>
    </rPh>
    <rPh sb="20" eb="23">
      <t>１３ジ</t>
    </rPh>
    <rPh sb="23" eb="26">
      <t>００フン</t>
    </rPh>
    <phoneticPr fontId="4"/>
  </si>
  <si>
    <t>定時外休憩時間　：　18：00～18：30〔0.5h〕　22：00～22：30〔0.5h〕　</t>
  </si>
  <si>
    <t>※　［　実動時間　＝　（　終了時刻　－　開始時刻　）　－　休憩時間　］　</t>
    <rPh sb="4" eb="6">
      <t>ジツドウ</t>
    </rPh>
    <rPh sb="6" eb="8">
      <t>ジカン</t>
    </rPh>
    <rPh sb="13" eb="15">
      <t>シュウリョウ</t>
    </rPh>
    <rPh sb="15" eb="16">
      <t>ジカン</t>
    </rPh>
    <rPh sb="16" eb="17">
      <t>コク</t>
    </rPh>
    <rPh sb="20" eb="22">
      <t>カイシ</t>
    </rPh>
    <rPh sb="22" eb="23">
      <t>ジカン</t>
    </rPh>
    <rPh sb="23" eb="24">
      <t>コク</t>
    </rPh>
    <rPh sb="29" eb="31">
      <t>キュウケイ</t>
    </rPh>
    <rPh sb="31" eb="33">
      <t>ジカン</t>
    </rPh>
    <phoneticPr fontId="4"/>
  </si>
  <si>
    <t>2：</t>
  </si>
  <si>
    <t>客先での作業については、各客先における就業時間を基本就業時間とする</t>
    <rPh sb="0" eb="1">
      <t>キャク</t>
    </rPh>
    <rPh sb="1" eb="2">
      <t>サキ</t>
    </rPh>
    <rPh sb="4" eb="6">
      <t>サギョウ</t>
    </rPh>
    <rPh sb="12" eb="13">
      <t>カク</t>
    </rPh>
    <rPh sb="13" eb="14">
      <t>キャク</t>
    </rPh>
    <rPh sb="14" eb="15">
      <t>サキ</t>
    </rPh>
    <rPh sb="19" eb="21">
      <t>シュウギョウ</t>
    </rPh>
    <rPh sb="21" eb="23">
      <t>ジカン</t>
    </rPh>
    <rPh sb="24" eb="26">
      <t>キホン</t>
    </rPh>
    <rPh sb="26" eb="28">
      <t>シュウギョウ</t>
    </rPh>
    <rPh sb="28" eb="30">
      <t>ジカン</t>
    </rPh>
    <phoneticPr fontId="4"/>
  </si>
  <si>
    <t>3：</t>
  </si>
  <si>
    <t>就業時間は1０分単位で記入すること</t>
    <rPh sb="0" eb="2">
      <t>シュウギョウ</t>
    </rPh>
    <rPh sb="2" eb="4">
      <t>ジカン</t>
    </rPh>
    <rPh sb="7" eb="8">
      <t>フン</t>
    </rPh>
    <rPh sb="8" eb="10">
      <t>タンイ</t>
    </rPh>
    <rPh sb="11" eb="13">
      <t>キニュウ</t>
    </rPh>
    <phoneticPr fontId="4"/>
  </si>
  <si>
    <t>提出先：管理本部→事業部長（確認）→社長（確認）→管理本部（保管）</t>
    <rPh sb="0" eb="2">
      <t>テイシュツ</t>
    </rPh>
    <rPh sb="2" eb="3">
      <t>サキ</t>
    </rPh>
    <rPh sb="4" eb="6">
      <t>カンリ</t>
    </rPh>
    <rPh sb="6" eb="8">
      <t>ホンブ</t>
    </rPh>
    <rPh sb="9" eb="11">
      <t>ジギョウ</t>
    </rPh>
    <rPh sb="11" eb="13">
      <t>ブチョウ</t>
    </rPh>
    <rPh sb="14" eb="16">
      <t>カクニン</t>
    </rPh>
    <rPh sb="18" eb="20">
      <t>シャチョウ</t>
    </rPh>
    <rPh sb="21" eb="23">
      <t>カクニン</t>
    </rPh>
    <rPh sb="25" eb="27">
      <t>カンリ</t>
    </rPh>
    <rPh sb="27" eb="29">
      <t>ホンブ</t>
    </rPh>
    <rPh sb="30" eb="32">
      <t>ホカン</t>
    </rPh>
    <phoneticPr fontId="4"/>
  </si>
  <si>
    <t>システム開発本部</t>
    <rPh sb="4" eb="6">
      <t>カイハツ</t>
    </rPh>
    <rPh sb="6" eb="8">
      <t>ホンブ</t>
    </rPh>
    <phoneticPr fontId="3"/>
  </si>
  <si>
    <t>営業本部</t>
    <rPh sb="0" eb="2">
      <t>エイギョウ</t>
    </rPh>
    <rPh sb="2" eb="4">
      <t>ホンブ</t>
    </rPh>
    <phoneticPr fontId="3"/>
  </si>
  <si>
    <t>時間振休</t>
    <rPh sb="0" eb="2">
      <t>ジカン</t>
    </rPh>
    <rPh sb="2" eb="3">
      <t>シン</t>
    </rPh>
    <rPh sb="3" eb="4">
      <t>キュウ</t>
    </rPh>
    <phoneticPr fontId="3"/>
  </si>
  <si>
    <t>時間有休</t>
    <rPh sb="0" eb="2">
      <t>ジカン</t>
    </rPh>
    <rPh sb="2" eb="4">
      <t>ユウキュウ</t>
    </rPh>
    <phoneticPr fontId="3"/>
  </si>
  <si>
    <t>振休</t>
    <rPh sb="0" eb="1">
      <t>オサム</t>
    </rPh>
    <rPh sb="1" eb="2">
      <t>ヤス</t>
    </rPh>
    <phoneticPr fontId="3"/>
  </si>
  <si>
    <t>時間振休</t>
    <rPh sb="0" eb="2">
      <t>ジカン</t>
    </rPh>
    <rPh sb="2" eb="3">
      <t>オサム</t>
    </rPh>
    <rPh sb="3" eb="4">
      <t>ヤス</t>
    </rPh>
    <phoneticPr fontId="3"/>
  </si>
  <si>
    <t>記念日休暇</t>
    <rPh sb="0" eb="3">
      <t>キネンビ</t>
    </rPh>
    <rPh sb="3" eb="5">
      <t>キュウカ</t>
    </rPh>
    <phoneticPr fontId="1"/>
  </si>
  <si>
    <t>半振休</t>
    <rPh sb="0" eb="1">
      <t>ハン</t>
    </rPh>
    <rPh sb="1" eb="2">
      <t>シン</t>
    </rPh>
    <rPh sb="2" eb="3">
      <t>キュウ</t>
    </rPh>
    <phoneticPr fontId="3"/>
  </si>
  <si>
    <t>有休時間</t>
    <rPh sb="0" eb="2">
      <t>ユウキュウ</t>
    </rPh>
    <rPh sb="2" eb="4">
      <t>ジカン</t>
    </rPh>
    <phoneticPr fontId="3"/>
  </si>
  <si>
    <t>愛　円太</t>
    <rPh sb="0" eb="1">
      <t>アイ</t>
    </rPh>
    <rPh sb="2" eb="3">
      <t>エン</t>
    </rPh>
    <rPh sb="3" eb="4">
      <t>タ</t>
    </rPh>
    <phoneticPr fontId="1"/>
  </si>
  <si>
    <t>本社</t>
    <rPh sb="0" eb="2">
      <t>ホンシャ</t>
    </rPh>
    <phoneticPr fontId="1"/>
  </si>
  <si>
    <t>開発</t>
    <rPh sb="0" eb="2">
      <t>カイハツ</t>
    </rPh>
    <phoneticPr fontId="1"/>
  </si>
  <si>
    <t>15時～18時　病院</t>
    <rPh sb="2" eb="3">
      <t>ジ</t>
    </rPh>
    <rPh sb="6" eb="7">
      <t>ジ</t>
    </rPh>
    <rPh sb="8" eb="10">
      <t>ビョウイン</t>
    </rPh>
    <phoneticPr fontId="7"/>
  </si>
  <si>
    <t>9時～12時　家庭の事情</t>
    <rPh sb="1" eb="2">
      <t>ジ</t>
    </rPh>
    <rPh sb="5" eb="6">
      <t>ジ</t>
    </rPh>
    <rPh sb="7" eb="9">
      <t>カテイ</t>
    </rPh>
    <rPh sb="10" eb="12">
      <t>ジジョウ</t>
    </rPh>
    <phoneticPr fontId="7"/>
  </si>
  <si>
    <t>私用</t>
    <rPh sb="0" eb="2">
      <t>シヨウ</t>
    </rPh>
    <phoneticPr fontId="7"/>
  </si>
  <si>
    <t>電車遅延</t>
    <rPh sb="0" eb="2">
      <t>デンシャ</t>
    </rPh>
    <rPh sb="2" eb="4">
      <t>チエン</t>
    </rPh>
    <phoneticPr fontId="7"/>
  </si>
  <si>
    <t>勉強会</t>
    <rPh sb="0" eb="2">
      <t>ベンキョウ</t>
    </rPh>
    <rPh sb="2" eb="3">
      <t>カイ</t>
    </rPh>
    <phoneticPr fontId="7"/>
  </si>
  <si>
    <t>システム開発本部</t>
    <rPh sb="4" eb="6">
      <t>カイハツ</t>
    </rPh>
    <rPh sb="6" eb="8">
      <t>ホンブ</t>
    </rPh>
    <phoneticPr fontId="1"/>
  </si>
  <si>
    <t>吉野 拓</t>
    <rPh sb="0" eb="2">
      <t>ヨシノ</t>
    </rPh>
    <rPh sb="3" eb="4">
      <t>タク</t>
    </rPh>
    <phoneticPr fontId="1"/>
  </si>
  <si>
    <t>締日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</si>
</sst>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&quot;日&quot;"/>
    <numFmt numFmtId="177" formatCode="0.0&quot;日&quot;"/>
    <numFmt numFmtId="178" formatCode="m/d;@"/>
    <numFmt numFmtId="179" formatCode="0_ "/>
    <numFmt numFmtId="180" formatCode="00\ "/>
    <numFmt numFmtId="181" formatCode="yyyy/m/d\ h:mm;@"/>
    <numFmt numFmtId="182" formatCode="0&quot;時間&quot;"/>
  </numFmts>
  <fonts count="12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24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6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sz val="12"/>
      <color rgb="FF484848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0" fontId="8" fillId="0" borderId="0" xfId="0" applyFont="1" applyProtection="1">
      <alignment vertical="center"/>
    </xf>
    <xf numFmtId="0" fontId="8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</xf>
    <xf numFmtId="0" fontId="8" fillId="0" borderId="0" xfId="0" applyFont="1" applyBorder="1" applyProtection="1">
      <alignment vertical="center"/>
    </xf>
    <xf numFmtId="0" fontId="8" fillId="0" borderId="4" xfId="0" applyFont="1" applyBorder="1" applyProtection="1">
      <alignment vertical="center"/>
    </xf>
    <xf numFmtId="0" fontId="8" fillId="0" borderId="5" xfId="0" applyFont="1" applyBorder="1" applyProtection="1">
      <alignment vertical="center"/>
    </xf>
    <xf numFmtId="0" fontId="8" fillId="0" borderId="5" xfId="0" applyFont="1" applyBorder="1" applyAlignment="1" applyProtection="1">
      <alignment vertical="center"/>
    </xf>
    <xf numFmtId="0" fontId="8" fillId="0" borderId="6" xfId="0" applyFont="1" applyBorder="1" applyProtection="1">
      <alignment vertical="center"/>
    </xf>
    <xf numFmtId="0" fontId="8" fillId="0" borderId="7" xfId="0" applyFont="1" applyBorder="1" applyProtection="1">
      <alignment vertical="center"/>
    </xf>
    <xf numFmtId="0" fontId="8" fillId="0" borderId="7" xfId="0" applyFont="1" applyBorder="1" applyAlignment="1" applyProtection="1">
      <alignment vertical="center"/>
    </xf>
    <xf numFmtId="0" fontId="8" fillId="0" borderId="0" xfId="0" applyFont="1" applyFill="1" applyProtection="1">
      <alignment vertical="center"/>
    </xf>
    <xf numFmtId="0" fontId="8" fillId="0" borderId="8" xfId="0" applyFont="1" applyBorder="1" applyProtection="1">
      <alignment vertical="center"/>
    </xf>
    <xf numFmtId="0" fontId="8" fillId="0" borderId="9" xfId="0" applyFont="1" applyBorder="1" applyProtection="1">
      <alignment vertical="center"/>
    </xf>
    <xf numFmtId="0" fontId="8" fillId="0" borderId="9" xfId="0" applyFont="1" applyBorder="1" applyAlignment="1" applyProtection="1">
      <alignment vertical="center"/>
    </xf>
    <xf numFmtId="0" fontId="8" fillId="0" borderId="10" xfId="0" applyFont="1" applyBorder="1" applyProtection="1">
      <alignment vertical="center"/>
    </xf>
    <xf numFmtId="0" fontId="8" fillId="0" borderId="0" xfId="0" applyFont="1" applyBorder="1" applyAlignment="1" applyProtection="1">
      <alignment horizontal="distributed" vertical="center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178" fontId="9" fillId="0" borderId="11" xfId="0" applyNumberFormat="1" applyFont="1" applyBorder="1" applyAlignment="1" applyProtection="1">
      <alignment horizontal="center" vertical="center"/>
    </xf>
    <xf numFmtId="179" fontId="9" fillId="0" borderId="12" xfId="0" applyNumberFormat="1" applyFont="1" applyBorder="1" applyAlignment="1" applyProtection="1">
      <alignment horizontal="right" vertical="center"/>
      <protection locked="0"/>
    </xf>
    <xf numFmtId="180" fontId="9" fillId="0" borderId="13" xfId="0" applyNumberFormat="1" applyFont="1" applyBorder="1" applyProtection="1">
      <alignment vertical="center"/>
      <protection locked="0"/>
    </xf>
    <xf numFmtId="179" fontId="9" fillId="0" borderId="12" xfId="0" applyNumberFormat="1" applyFont="1" applyBorder="1" applyAlignment="1" applyProtection="1">
      <alignment horizontal="right" vertical="center"/>
    </xf>
    <xf numFmtId="180" fontId="9" fillId="0" borderId="13" xfId="0" applyNumberFormat="1" applyFont="1" applyBorder="1" applyProtection="1">
      <alignment vertical="center"/>
    </xf>
    <xf numFmtId="180" fontId="8" fillId="0" borderId="0" xfId="0" applyNumberFormat="1" applyFont="1" applyBorder="1" applyAlignment="1" applyProtection="1">
      <alignment horizontal="left" vertical="center"/>
    </xf>
    <xf numFmtId="180" fontId="8" fillId="0" borderId="0" xfId="0" applyNumberFormat="1" applyFont="1" applyAlignment="1" applyProtection="1">
      <alignment horizontal="left" vertical="center"/>
    </xf>
    <xf numFmtId="180" fontId="8" fillId="0" borderId="5" xfId="0" applyNumberFormat="1" applyFont="1" applyBorder="1" applyAlignment="1" applyProtection="1">
      <alignment vertical="center"/>
    </xf>
    <xf numFmtId="181" fontId="8" fillId="0" borderId="4" xfId="0" applyNumberFormat="1" applyFont="1" applyBorder="1" applyAlignment="1" applyProtection="1">
      <alignment vertical="center"/>
    </xf>
    <xf numFmtId="181" fontId="8" fillId="0" borderId="14" xfId="0" applyNumberFormat="1" applyFont="1" applyBorder="1" applyAlignment="1" applyProtection="1">
      <alignment vertical="center"/>
    </xf>
    <xf numFmtId="181" fontId="8" fillId="0" borderId="4" xfId="0" applyNumberFormat="1" applyFont="1" applyBorder="1" applyProtection="1">
      <alignment vertical="center"/>
    </xf>
    <xf numFmtId="181" fontId="8" fillId="0" borderId="15" xfId="0" applyNumberFormat="1" applyFont="1" applyBorder="1" applyProtection="1">
      <alignment vertical="center"/>
    </xf>
    <xf numFmtId="181" fontId="8" fillId="0" borderId="14" xfId="0" applyNumberFormat="1" applyFont="1" applyBorder="1" applyProtection="1">
      <alignment vertical="center"/>
    </xf>
    <xf numFmtId="0" fontId="8" fillId="0" borderId="15" xfId="0" applyFont="1" applyBorder="1" applyProtection="1">
      <alignment vertical="center"/>
    </xf>
    <xf numFmtId="0" fontId="8" fillId="0" borderId="14" xfId="0" applyFont="1" applyBorder="1" applyProtection="1">
      <alignment vertical="center"/>
    </xf>
    <xf numFmtId="178" fontId="9" fillId="0" borderId="16" xfId="0" applyNumberFormat="1" applyFont="1" applyBorder="1" applyAlignment="1" applyProtection="1">
      <alignment horizontal="center" vertical="center"/>
    </xf>
    <xf numFmtId="179" fontId="9" fillId="0" borderId="17" xfId="0" applyNumberFormat="1" applyFont="1" applyBorder="1" applyAlignment="1" applyProtection="1">
      <alignment horizontal="right" vertical="center"/>
      <protection locked="0"/>
    </xf>
    <xf numFmtId="180" fontId="9" fillId="0" borderId="18" xfId="0" applyNumberFormat="1" applyFont="1" applyBorder="1" applyProtection="1">
      <alignment vertical="center"/>
      <protection locked="0"/>
    </xf>
    <xf numFmtId="179" fontId="9" fillId="0" borderId="17" xfId="0" applyNumberFormat="1" applyFont="1" applyBorder="1" applyAlignment="1" applyProtection="1">
      <alignment horizontal="right" vertical="center"/>
    </xf>
    <xf numFmtId="180" fontId="9" fillId="0" borderId="18" xfId="0" applyNumberFormat="1" applyFont="1" applyBorder="1" applyProtection="1">
      <alignment vertical="center"/>
    </xf>
    <xf numFmtId="180" fontId="8" fillId="0" borderId="0" xfId="0" applyNumberFormat="1" applyFont="1" applyProtection="1">
      <alignment vertical="center"/>
    </xf>
    <xf numFmtId="180" fontId="8" fillId="0" borderId="7" xfId="0" applyNumberFormat="1" applyFont="1" applyBorder="1" applyAlignment="1" applyProtection="1">
      <alignment vertical="center"/>
    </xf>
    <xf numFmtId="181" fontId="8" fillId="0" borderId="6" xfId="0" applyNumberFormat="1" applyFont="1" applyBorder="1" applyAlignment="1" applyProtection="1">
      <alignment vertical="center"/>
    </xf>
    <xf numFmtId="181" fontId="8" fillId="0" borderId="19" xfId="0" applyNumberFormat="1" applyFont="1" applyBorder="1" applyAlignment="1" applyProtection="1">
      <alignment vertical="center"/>
    </xf>
    <xf numFmtId="181" fontId="8" fillId="0" borderId="6" xfId="0" applyNumberFormat="1" applyFont="1" applyBorder="1" applyProtection="1">
      <alignment vertical="center"/>
    </xf>
    <xf numFmtId="181" fontId="8" fillId="0" borderId="0" xfId="0" applyNumberFormat="1" applyFont="1" applyBorder="1" applyProtection="1">
      <alignment vertical="center"/>
    </xf>
    <xf numFmtId="181" fontId="8" fillId="0" borderId="19" xfId="0" applyNumberFormat="1" applyFont="1" applyBorder="1" applyProtection="1">
      <alignment vertical="center"/>
    </xf>
    <xf numFmtId="0" fontId="8" fillId="0" borderId="19" xfId="0" applyFont="1" applyBorder="1" applyProtection="1">
      <alignment vertical="center"/>
    </xf>
    <xf numFmtId="179" fontId="9" fillId="0" borderId="21" xfId="0" applyNumberFormat="1" applyFont="1" applyBorder="1" applyAlignment="1" applyProtection="1">
      <alignment horizontal="right" vertical="center"/>
      <protection locked="0"/>
    </xf>
    <xf numFmtId="180" fontId="9" fillId="0" borderId="22" xfId="0" applyNumberFormat="1" applyFont="1" applyBorder="1" applyProtection="1">
      <alignment vertical="center"/>
      <protection locked="0"/>
    </xf>
    <xf numFmtId="179" fontId="9" fillId="0" borderId="21" xfId="0" applyNumberFormat="1" applyFont="1" applyBorder="1" applyAlignment="1" applyProtection="1">
      <alignment horizontal="right" vertical="center"/>
    </xf>
    <xf numFmtId="180" fontId="9" fillId="0" borderId="22" xfId="0" applyNumberFormat="1" applyFont="1" applyBorder="1" applyProtection="1">
      <alignment vertical="center"/>
    </xf>
    <xf numFmtId="180" fontId="8" fillId="0" borderId="9" xfId="0" applyNumberFormat="1" applyFont="1" applyBorder="1" applyAlignment="1" applyProtection="1">
      <alignment vertical="center"/>
    </xf>
    <xf numFmtId="181" fontId="8" fillId="0" borderId="10" xfId="0" applyNumberFormat="1" applyFont="1" applyBorder="1" applyAlignment="1" applyProtection="1">
      <alignment vertical="center"/>
    </xf>
    <xf numFmtId="181" fontId="8" fillId="0" borderId="23" xfId="0" applyNumberFormat="1" applyFont="1" applyBorder="1" applyAlignment="1" applyProtection="1">
      <alignment vertical="center"/>
    </xf>
    <xf numFmtId="181" fontId="8" fillId="0" borderId="10" xfId="0" applyNumberFormat="1" applyFont="1" applyBorder="1" applyProtection="1">
      <alignment vertical="center"/>
    </xf>
    <xf numFmtId="181" fontId="8" fillId="0" borderId="24" xfId="0" applyNumberFormat="1" applyFont="1" applyBorder="1" applyProtection="1">
      <alignment vertical="center"/>
    </xf>
    <xf numFmtId="181" fontId="8" fillId="0" borderId="23" xfId="0" applyNumberFormat="1" applyFont="1" applyBorder="1" applyProtection="1">
      <alignment vertical="center"/>
    </xf>
    <xf numFmtId="0" fontId="8" fillId="0" borderId="24" xfId="0" applyFont="1" applyBorder="1" applyProtection="1">
      <alignment vertical="center"/>
    </xf>
    <xf numFmtId="0" fontId="8" fillId="0" borderId="23" xfId="0" applyFont="1" applyBorder="1" applyProtection="1">
      <alignment vertical="center"/>
    </xf>
    <xf numFmtId="179" fontId="9" fillId="0" borderId="25" xfId="0" applyNumberFormat="1" applyFont="1" applyBorder="1" applyAlignment="1" applyProtection="1">
      <alignment horizontal="right" vertical="center"/>
    </xf>
    <xf numFmtId="180" fontId="9" fillId="0" borderId="26" xfId="0" applyNumberFormat="1" applyFont="1" applyBorder="1" applyProtection="1">
      <alignment vertical="center"/>
    </xf>
    <xf numFmtId="49" fontId="9" fillId="0" borderId="27" xfId="0" applyNumberFormat="1" applyFont="1" applyBorder="1" applyProtection="1">
      <alignment vertical="center"/>
    </xf>
    <xf numFmtId="49" fontId="9" fillId="0" borderId="28" xfId="0" applyNumberFormat="1" applyFont="1" applyBorder="1" applyProtection="1">
      <alignment vertical="center"/>
    </xf>
    <xf numFmtId="0" fontId="8" fillId="0" borderId="0" xfId="0" applyNumberFormat="1" applyFont="1" applyProtection="1">
      <alignment vertical="center"/>
    </xf>
    <xf numFmtId="181" fontId="8" fillId="0" borderId="15" xfId="0" applyNumberFormat="1" applyFont="1" applyBorder="1" applyAlignment="1" applyProtection="1">
      <alignment vertical="center"/>
    </xf>
    <xf numFmtId="181" fontId="8" fillId="0" borderId="0" xfId="0" applyNumberFormat="1" applyFont="1" applyBorder="1" applyAlignment="1" applyProtection="1">
      <alignment vertical="center"/>
    </xf>
    <xf numFmtId="181" fontId="8" fillId="0" borderId="24" xfId="0" applyNumberFormat="1" applyFont="1" applyBorder="1" applyAlignment="1" applyProtection="1">
      <alignment vertical="center"/>
    </xf>
    <xf numFmtId="178" fontId="9" fillId="0" borderId="16" xfId="0" applyNumberFormat="1" applyFont="1" applyBorder="1" applyAlignment="1" applyProtection="1">
      <alignment horizontal="center" vertical="center"/>
    </xf>
    <xf numFmtId="178" fontId="9" fillId="0" borderId="20" xfId="0" applyNumberFormat="1" applyFont="1" applyBorder="1" applyAlignment="1" applyProtection="1">
      <alignment horizontal="center" vertical="center"/>
    </xf>
    <xf numFmtId="178" fontId="9" fillId="0" borderId="11" xfId="0" applyNumberFormat="1" applyFont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179" fontId="9" fillId="2" borderId="17" xfId="0" applyNumberFormat="1" applyFont="1" applyFill="1" applyBorder="1" applyAlignment="1" applyProtection="1">
      <alignment horizontal="right" vertical="center"/>
      <protection locked="0"/>
    </xf>
    <xf numFmtId="180" fontId="9" fillId="2" borderId="18" xfId="0" applyNumberFormat="1" applyFont="1" applyFill="1" applyBorder="1" applyProtection="1">
      <alignment vertical="center"/>
      <protection locked="0"/>
    </xf>
    <xf numFmtId="178" fontId="9" fillId="0" borderId="16" xfId="0" applyNumberFormat="1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0" fillId="0" borderId="2" xfId="0" applyBorder="1" applyAlignment="1" applyProtection="1">
      <alignment vertical="center"/>
    </xf>
    <xf numFmtId="0" fontId="10" fillId="0" borderId="57" xfId="0" applyFont="1" applyBorder="1" applyAlignment="1" applyProtection="1">
      <alignment horizontal="distributed" vertical="center" indent="1"/>
    </xf>
    <xf numFmtId="0" fontId="0" fillId="0" borderId="58" xfId="0" applyBorder="1" applyAlignment="1" applyProtection="1">
      <alignment horizontal="distributed" vertical="center" indent="1"/>
    </xf>
    <xf numFmtId="0" fontId="0" fillId="0" borderId="59" xfId="0" applyBorder="1" applyAlignment="1" applyProtection="1">
      <alignment horizontal="distributed" vertical="center" indent="1"/>
    </xf>
    <xf numFmtId="0" fontId="10" fillId="0" borderId="60" xfId="0" applyFont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61" xfId="0" applyBorder="1" applyAlignment="1" applyProtection="1">
      <alignment vertical="center"/>
      <protection locked="0"/>
    </xf>
    <xf numFmtId="0" fontId="8" fillId="0" borderId="1" xfId="0" applyFont="1" applyBorder="1" applyAlignment="1" applyProtection="1">
      <alignment horizontal="distributed" vertical="center"/>
    </xf>
    <xf numFmtId="0" fontId="8" fillId="0" borderId="3" xfId="0" applyFont="1" applyBorder="1" applyAlignment="1" applyProtection="1">
      <alignment horizontal="distributed" vertical="center"/>
    </xf>
    <xf numFmtId="176" fontId="8" fillId="0" borderId="1" xfId="0" applyNumberFormat="1" applyFont="1" applyBorder="1" applyAlignment="1" applyProtection="1">
      <alignment horizontal="right" vertical="center"/>
    </xf>
    <xf numFmtId="0" fontId="8" fillId="0" borderId="3" xfId="0" applyFont="1" applyBorder="1" applyAlignment="1" applyProtection="1">
      <alignment horizontal="right" vertical="center"/>
    </xf>
    <xf numFmtId="0" fontId="0" fillId="0" borderId="3" xfId="0" applyBorder="1" applyAlignment="1" applyProtection="1">
      <alignment horizontal="distributed" vertical="center"/>
    </xf>
    <xf numFmtId="177" fontId="8" fillId="0" borderId="1" xfId="0" applyNumberFormat="1" applyFont="1" applyBorder="1" applyAlignment="1" applyProtection="1">
      <alignment vertical="center"/>
    </xf>
    <xf numFmtId="177" fontId="0" fillId="0" borderId="3" xfId="0" applyNumberFormat="1" applyBorder="1" applyAlignment="1" applyProtection="1">
      <alignment vertical="center"/>
    </xf>
    <xf numFmtId="0" fontId="10" fillId="0" borderId="54" xfId="0" applyFont="1" applyBorder="1" applyAlignment="1" applyProtection="1">
      <alignment horizontal="distributed" vertical="center" indent="1"/>
    </xf>
    <xf numFmtId="0" fontId="0" fillId="0" borderId="55" xfId="0" applyBorder="1" applyAlignment="1" applyProtection="1">
      <alignment horizontal="distributed" vertical="center" indent="1"/>
    </xf>
    <xf numFmtId="0" fontId="0" fillId="0" borderId="33" xfId="0" applyBorder="1" applyAlignment="1" applyProtection="1">
      <alignment horizontal="distributed" vertical="center" indent="1"/>
    </xf>
    <xf numFmtId="0" fontId="10" fillId="0" borderId="32" xfId="0" applyFont="1" applyBorder="1" applyAlignment="1" applyProtection="1">
      <alignment vertical="center"/>
      <protection locked="0"/>
    </xf>
    <xf numFmtId="0" fontId="0" fillId="0" borderId="55" xfId="0" applyBorder="1" applyAlignment="1" applyProtection="1">
      <alignment vertical="center"/>
      <protection locked="0"/>
    </xf>
    <xf numFmtId="0" fontId="0" fillId="0" borderId="56" xfId="0" applyBorder="1" applyAlignment="1" applyProtection="1">
      <alignment vertical="center"/>
      <protection locked="0"/>
    </xf>
    <xf numFmtId="0" fontId="8" fillId="0" borderId="1" xfId="0" applyFont="1" applyFill="1" applyBorder="1" applyAlignment="1" applyProtection="1">
      <alignment horizontal="distributed" vertical="center"/>
    </xf>
    <xf numFmtId="177" fontId="8" fillId="0" borderId="1" xfId="0" applyNumberFormat="1" applyFont="1" applyBorder="1" applyAlignment="1" applyProtection="1">
      <alignment horizontal="right" vertical="center"/>
    </xf>
    <xf numFmtId="177" fontId="8" fillId="0" borderId="3" xfId="0" applyNumberFormat="1" applyFont="1" applyBorder="1" applyAlignment="1" applyProtection="1">
      <alignment horizontal="right" vertical="center"/>
    </xf>
    <xf numFmtId="0" fontId="10" fillId="0" borderId="49" xfId="0" applyFont="1" applyBorder="1" applyAlignment="1" applyProtection="1">
      <alignment horizontal="distributed" vertical="center" indent="1"/>
    </xf>
    <xf numFmtId="0" fontId="0" fillId="0" borderId="50" xfId="0" applyBorder="1" applyAlignment="1" applyProtection="1">
      <alignment horizontal="distributed" vertical="center" indent="1"/>
    </xf>
    <xf numFmtId="0" fontId="0" fillId="0" borderId="51" xfId="0" applyBorder="1" applyAlignment="1" applyProtection="1">
      <alignment horizontal="distributed" vertical="center" indent="1"/>
    </xf>
    <xf numFmtId="0" fontId="10" fillId="0" borderId="52" xfId="0" applyFont="1" applyBorder="1" applyAlignment="1" applyProtection="1">
      <alignment vertical="center"/>
      <protection locked="0"/>
    </xf>
    <xf numFmtId="0" fontId="0" fillId="0" borderId="50" xfId="0" applyBorder="1" applyAlignment="1" applyProtection="1">
      <alignment vertical="center"/>
      <protection locked="0"/>
    </xf>
    <xf numFmtId="0" fontId="0" fillId="0" borderId="5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right" vertical="center"/>
    </xf>
    <xf numFmtId="176" fontId="8" fillId="0" borderId="3" xfId="0" applyNumberFormat="1" applyFont="1" applyBorder="1" applyAlignment="1" applyProtection="1">
      <alignment horizontal="right" vertical="center"/>
    </xf>
    <xf numFmtId="182" fontId="8" fillId="0" borderId="1" xfId="0" applyNumberFormat="1" applyFont="1" applyBorder="1" applyAlignment="1" applyProtection="1">
      <alignment horizontal="right" vertical="center"/>
    </xf>
    <xf numFmtId="182" fontId="8" fillId="0" borderId="3" xfId="0" applyNumberFormat="1" applyFont="1" applyBorder="1" applyAlignment="1" applyProtection="1">
      <alignment horizontal="right" vertical="center"/>
    </xf>
    <xf numFmtId="0" fontId="9" fillId="0" borderId="47" xfId="0" applyNumberFormat="1" applyFont="1" applyBorder="1" applyAlignment="1" applyProtection="1">
      <alignment horizontal="center" vertical="center"/>
    </xf>
    <xf numFmtId="0" fontId="9" fillId="0" borderId="48" xfId="0" applyNumberFormat="1" applyFont="1" applyBorder="1" applyAlignment="1" applyProtection="1">
      <alignment horizontal="center" vertical="center"/>
    </xf>
    <xf numFmtId="0" fontId="9" fillId="0" borderId="39" xfId="0" applyNumberFormat="1" applyFont="1" applyBorder="1" applyAlignment="1" applyProtection="1">
      <alignment horizontal="center" vertical="center"/>
    </xf>
    <xf numFmtId="0" fontId="9" fillId="0" borderId="40" xfId="0" applyFont="1" applyBorder="1" applyAlignment="1" applyProtection="1">
      <alignment horizontal="center" vertical="center"/>
    </xf>
    <xf numFmtId="0" fontId="9" fillId="0" borderId="39" xfId="0" applyFont="1" applyBorder="1" applyAlignment="1" applyProtection="1">
      <alignment horizontal="center" vertical="center"/>
    </xf>
    <xf numFmtId="49" fontId="9" fillId="0" borderId="39" xfId="0" applyNumberFormat="1" applyFont="1" applyBorder="1" applyAlignment="1" applyProtection="1">
      <alignment horizontal="center" vertical="center"/>
    </xf>
    <xf numFmtId="49" fontId="9" fillId="0" borderId="41" xfId="0" applyNumberFormat="1" applyFont="1" applyBorder="1" applyAlignment="1" applyProtection="1">
      <alignment horizontal="center" vertical="center"/>
    </xf>
    <xf numFmtId="49" fontId="9" fillId="0" borderId="42" xfId="0" applyNumberFormat="1" applyFont="1" applyBorder="1" applyAlignment="1" applyProtection="1">
      <alignment horizontal="center" vertical="center"/>
    </xf>
    <xf numFmtId="178" fontId="9" fillId="0" borderId="43" xfId="0" applyNumberFormat="1" applyFont="1" applyBorder="1" applyAlignment="1" applyProtection="1">
      <alignment horizontal="center" vertical="center"/>
    </xf>
    <xf numFmtId="178" fontId="9" fillId="0" borderId="11" xfId="0" applyNumberFormat="1" applyFont="1" applyBorder="1" applyAlignment="1" applyProtection="1">
      <alignment horizontal="center" vertical="center"/>
    </xf>
    <xf numFmtId="178" fontId="9" fillId="0" borderId="44" xfId="0" applyNumberFormat="1" applyFont="1" applyBorder="1" applyAlignment="1" applyProtection="1">
      <alignment horizontal="center" vertical="center"/>
      <protection locked="0"/>
    </xf>
    <xf numFmtId="0" fontId="9" fillId="0" borderId="45" xfId="0" applyFont="1" applyBorder="1" applyAlignment="1" applyProtection="1">
      <alignment horizontal="center" vertical="center"/>
      <protection locked="0"/>
    </xf>
    <xf numFmtId="0" fontId="9" fillId="0" borderId="44" xfId="0" applyFont="1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49" fontId="9" fillId="0" borderId="11" xfId="0" applyNumberFormat="1" applyFont="1" applyBorder="1" applyAlignment="1" applyProtection="1">
      <alignment horizontal="left" vertical="center"/>
      <protection locked="0"/>
    </xf>
    <xf numFmtId="49" fontId="9" fillId="0" borderId="46" xfId="0" applyNumberFormat="1" applyFont="1" applyBorder="1" applyAlignment="1" applyProtection="1">
      <alignment horizontal="left" vertical="center"/>
      <protection locked="0"/>
    </xf>
    <xf numFmtId="178" fontId="9" fillId="0" borderId="31" xfId="0" applyNumberFormat="1" applyFont="1" applyBorder="1" applyAlignment="1" applyProtection="1">
      <alignment horizontal="center" vertical="center"/>
    </xf>
    <xf numFmtId="178" fontId="9" fillId="0" borderId="16" xfId="0" applyNumberFormat="1" applyFont="1" applyBorder="1" applyAlignment="1" applyProtection="1">
      <alignment horizontal="center" vertical="center"/>
    </xf>
    <xf numFmtId="178" fontId="9" fillId="0" borderId="32" xfId="0" applyNumberFormat="1" applyFont="1" applyBorder="1" applyAlignment="1" applyProtection="1">
      <alignment horizontal="center" vertical="center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49" fontId="9" fillId="0" borderId="16" xfId="0" applyNumberFormat="1" applyFont="1" applyBorder="1" applyAlignment="1" applyProtection="1">
      <alignment horizontal="left" vertical="center"/>
      <protection locked="0"/>
    </xf>
    <xf numFmtId="49" fontId="9" fillId="0" borderId="34" xfId="0" applyNumberFormat="1" applyFont="1" applyBorder="1" applyAlignment="1" applyProtection="1">
      <alignment horizontal="left" vertical="center"/>
      <protection locked="0"/>
    </xf>
    <xf numFmtId="0" fontId="9" fillId="0" borderId="29" xfId="0" applyFont="1" applyBorder="1" applyAlignment="1" applyProtection="1">
      <alignment horizontal="distributed" vertical="center" indent="8"/>
    </xf>
    <xf numFmtId="0" fontId="9" fillId="0" borderId="27" xfId="0" applyFont="1" applyBorder="1" applyAlignment="1" applyProtection="1">
      <alignment horizontal="distributed" vertical="center" indent="8"/>
    </xf>
    <xf numFmtId="0" fontId="9" fillId="0" borderId="30" xfId="0" applyFont="1" applyBorder="1" applyAlignment="1" applyProtection="1">
      <alignment horizontal="distributed" vertical="center" indent="8"/>
    </xf>
    <xf numFmtId="178" fontId="9" fillId="0" borderId="35" xfId="0" applyNumberFormat="1" applyFont="1" applyBorder="1" applyAlignment="1" applyProtection="1">
      <alignment horizontal="center" vertical="center"/>
    </xf>
    <xf numFmtId="178" fontId="9" fillId="0" borderId="20" xfId="0" applyNumberFormat="1" applyFont="1" applyBorder="1" applyAlignment="1" applyProtection="1">
      <alignment horizontal="center" vertical="center"/>
    </xf>
    <xf numFmtId="178" fontId="9" fillId="0" borderId="36" xfId="0" applyNumberFormat="1" applyFont="1" applyBorder="1" applyAlignment="1" applyProtection="1">
      <alignment horizontal="center" vertical="center"/>
      <protection locked="0"/>
    </xf>
    <xf numFmtId="0" fontId="9" fillId="0" borderId="37" xfId="0" applyFont="1" applyBorder="1" applyAlignment="1" applyProtection="1">
      <alignment horizontal="center" vertical="center"/>
      <protection locked="0"/>
    </xf>
    <xf numFmtId="0" fontId="9" fillId="0" borderId="36" xfId="0" applyFont="1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49" fontId="9" fillId="0" borderId="20" xfId="0" applyNumberFormat="1" applyFont="1" applyBorder="1" applyAlignment="1" applyProtection="1">
      <alignment horizontal="left" vertical="center"/>
      <protection locked="0"/>
    </xf>
    <xf numFmtId="49" fontId="9" fillId="0" borderId="38" xfId="0" applyNumberFormat="1" applyFont="1" applyBorder="1" applyAlignment="1" applyProtection="1">
      <alignment horizontal="left" vertical="center"/>
      <protection locked="0"/>
    </xf>
    <xf numFmtId="0" fontId="6" fillId="0" borderId="32" xfId="0" applyFont="1" applyBorder="1" applyAlignment="1" applyProtection="1">
      <alignment vertical="center"/>
      <protection locked="0"/>
    </xf>
    <xf numFmtId="0" fontId="6" fillId="0" borderId="52" xfId="0" applyFont="1" applyBorder="1" applyAlignment="1" applyProtection="1">
      <alignment vertical="center"/>
      <protection locked="0"/>
    </xf>
  </cellXfs>
  <cellStyles count="1">
    <cellStyle name="標準" xfId="0" builtinId="0"/>
  </cellStyles>
  <dxfs count="106">
    <dxf>
      <fill>
        <patternFill>
          <bgColor theme="1" tint="0.34998626667073579"/>
        </patternFill>
      </fill>
    </dxf>
    <dxf>
      <fill>
        <patternFill>
          <bgColor theme="4" tint="0.59996337778862885"/>
        </patternFill>
      </fill>
    </dxf>
    <dxf>
      <fill>
        <patternFill>
          <bgColor rgb="FFFFCC99"/>
        </patternFill>
      </fill>
    </dxf>
    <dxf>
      <fill>
        <patternFill>
          <fgColor indexed="64"/>
          <bgColor indexed="23" tint="-0.34998626667073579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indexed="23" tint="-0.34998626667073579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indexed="23" tint="-0.34998626667073579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indexed="23" tint="-0.34998626667073579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theme="4" tint="0.59996337778862885"/>
        </patternFill>
      </fill>
    </dxf>
    <dxf>
      <fill>
        <patternFill>
          <fgColor indexed="64"/>
          <bgColor indexed="47"/>
        </patternFill>
      </fill>
    </dxf>
    <dxf>
      <fill>
        <patternFill>
          <fgColor indexed="64"/>
          <bgColor indexed="23" tint="-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4" tint="0.59996337778862885"/>
        </patternFill>
      </fill>
    </dxf>
    <dxf>
      <fill>
        <patternFill>
          <bgColor rgb="FFFFCC9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5"/>
      <tableStyleElement type="headerRow" dxfId="104"/>
    </tableStyle>
  </tableStyles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214317</xdr:colOff>
      <xdr:row>0</xdr:row>
      <xdr:rowOff>214311</xdr:rowOff>
    </xdr:from>
    <xdr:to>
      <xdr:col>91</xdr:col>
      <xdr:colOff>119173</xdr:colOff>
      <xdr:row>3</xdr:row>
      <xdr:rowOff>52386</xdr:rowOff>
    </xdr:to>
    <xdr:sp macro="" textlink="">
      <xdr:nvSpPr>
        <xdr:cNvPr id="2" name="AutoShape 32"/>
        <xdr:cNvSpPr>
          <a:spLocks noChangeArrowheads="1"/>
        </xdr:cNvSpPr>
      </xdr:nvSpPr>
      <xdr:spPr bwMode="auto">
        <a:xfrm>
          <a:off x="14216067" y="214311"/>
          <a:ext cx="11715856" cy="909638"/>
        </a:xfrm>
        <a:prstGeom prst="wedgeRectCallout">
          <a:avLst>
            <a:gd name="adj1" fmla="val -119787"/>
            <a:gd name="adj2" fmla="val -18750"/>
          </a:avLst>
        </a:prstGeom>
        <a:solidFill>
          <a:srgbClr val="FFFFFF"/>
        </a:solidFill>
        <a:ln w="57150">
          <a:solidFill>
            <a:srgbClr val="333333"/>
          </a:solidFill>
          <a:miter lim="800000"/>
          <a:headEnd/>
          <a:tailEnd/>
        </a:ln>
      </xdr:spPr>
      <xdr:txBody>
        <a:bodyPr vertOverflow="clip" wrap="square" lIns="180000" tIns="180000" rIns="90000" bIns="180000" anchor="t" upright="1"/>
        <a:lstStyle/>
        <a:p>
          <a:pPr algn="l" rtl="0"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年月を変更するとデータが消えてしまいますので注意してください。</a:t>
          </a:r>
        </a:p>
      </xdr:txBody>
    </xdr:sp>
    <xdr:clientData/>
  </xdr:twoCellAnchor>
  <xdr:twoCellAnchor>
    <xdr:from>
      <xdr:col>0</xdr:col>
      <xdr:colOff>190500</xdr:colOff>
      <xdr:row>7</xdr:row>
      <xdr:rowOff>0</xdr:rowOff>
    </xdr:from>
    <xdr:to>
      <xdr:col>20</xdr:col>
      <xdr:colOff>180975</xdr:colOff>
      <xdr:row>16</xdr:row>
      <xdr:rowOff>152400</xdr:rowOff>
    </xdr:to>
    <xdr:sp macro="" textlink="">
      <xdr:nvSpPr>
        <xdr:cNvPr id="3295" name="Rectangle 26"/>
        <xdr:cNvSpPr>
          <a:spLocks noChangeArrowheads="1"/>
        </xdr:cNvSpPr>
      </xdr:nvSpPr>
      <xdr:spPr bwMode="auto">
        <a:xfrm>
          <a:off x="190500" y="2533650"/>
          <a:ext cx="8524875" cy="3819525"/>
        </a:xfrm>
        <a:prstGeom prst="rect">
          <a:avLst/>
        </a:prstGeom>
        <a:noFill/>
        <a:ln w="76200">
          <a:solidFill>
            <a:srgbClr val="008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238125</xdr:colOff>
      <xdr:row>3</xdr:row>
      <xdr:rowOff>238125</xdr:rowOff>
    </xdr:from>
    <xdr:to>
      <xdr:col>103</xdr:col>
      <xdr:colOff>238125</xdr:colOff>
      <xdr:row>21</xdr:row>
      <xdr:rowOff>333375</xdr:rowOff>
    </xdr:to>
    <xdr:grpSp>
      <xdr:nvGrpSpPr>
        <xdr:cNvPr id="3296" name="グループ化 12"/>
        <xdr:cNvGrpSpPr>
          <a:grpSpLocks/>
        </xdr:cNvGrpSpPr>
      </xdr:nvGrpSpPr>
      <xdr:grpSpPr bwMode="auto">
        <a:xfrm>
          <a:off x="15097125" y="1317625"/>
          <a:ext cx="16002000" cy="7239000"/>
          <a:chOff x="25265063" y="5667375"/>
          <a:chExt cx="16002000" cy="7429500"/>
        </a:xfrm>
      </xdr:grpSpPr>
      <xdr:pic>
        <xdr:nvPicPr>
          <xdr:cNvPr id="3304" name="Picture 3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539" t="27348" r="3011" b="21252"/>
          <a:stretch>
            <a:fillRect/>
          </a:stretch>
        </xdr:blipFill>
        <xdr:spPr bwMode="auto">
          <a:xfrm>
            <a:off x="25265063" y="5667375"/>
            <a:ext cx="16002000" cy="7429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305" name="Picture 4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666" t="32231" r="66565" b="39999"/>
          <a:stretch>
            <a:fillRect/>
          </a:stretch>
        </xdr:blipFill>
        <xdr:spPr bwMode="auto">
          <a:xfrm>
            <a:off x="25479374" y="7119940"/>
            <a:ext cx="4786313" cy="4000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20</xdr:col>
      <xdr:colOff>219075</xdr:colOff>
      <xdr:row>9</xdr:row>
      <xdr:rowOff>133350</xdr:rowOff>
    </xdr:from>
    <xdr:to>
      <xdr:col>61</xdr:col>
      <xdr:colOff>123825</xdr:colOff>
      <xdr:row>9</xdr:row>
      <xdr:rowOff>133350</xdr:rowOff>
    </xdr:to>
    <xdr:sp macro="" textlink="">
      <xdr:nvSpPr>
        <xdr:cNvPr id="3297" name="Line 27"/>
        <xdr:cNvSpPr>
          <a:spLocks noChangeShapeType="1"/>
        </xdr:cNvSpPr>
      </xdr:nvSpPr>
      <xdr:spPr bwMode="auto">
        <a:xfrm>
          <a:off x="8753475" y="3400425"/>
          <a:ext cx="5791200" cy="0"/>
        </a:xfrm>
        <a:prstGeom prst="line">
          <a:avLst/>
        </a:prstGeom>
        <a:noFill/>
        <a:ln w="101600">
          <a:solidFill>
            <a:srgbClr val="008000"/>
          </a:solidFill>
          <a:round/>
          <a:headEnd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277813</xdr:colOff>
      <xdr:row>23</xdr:row>
      <xdr:rowOff>253999</xdr:rowOff>
    </xdr:from>
    <xdr:to>
      <xdr:col>83</xdr:col>
      <xdr:colOff>296863</xdr:colOff>
      <xdr:row>33</xdr:row>
      <xdr:rowOff>60324</xdr:rowOff>
    </xdr:to>
    <xdr:sp macro="" textlink="">
      <xdr:nvSpPr>
        <xdr:cNvPr id="15" name="AutoShape 29"/>
        <xdr:cNvSpPr>
          <a:spLocks noChangeArrowheads="1"/>
        </xdr:cNvSpPr>
      </xdr:nvSpPr>
      <xdr:spPr bwMode="auto">
        <a:xfrm>
          <a:off x="15136813" y="9302749"/>
          <a:ext cx="8401050" cy="3933825"/>
        </a:xfrm>
        <a:prstGeom prst="wedgeRectCallout">
          <a:avLst>
            <a:gd name="adj1" fmla="val -2193"/>
            <a:gd name="adj2" fmla="val -76473"/>
          </a:avLst>
        </a:prstGeom>
        <a:solidFill>
          <a:srgbClr val="FFFFFF"/>
        </a:solidFill>
        <a:ln w="57150">
          <a:solidFill>
            <a:srgbClr val="333333"/>
          </a:solidFill>
          <a:miter lim="800000"/>
          <a:headEnd/>
          <a:tailEnd/>
        </a:ln>
      </xdr:spPr>
      <xdr:txBody>
        <a:bodyPr vertOverflow="clip" wrap="square" lIns="54864" tIns="32004" rIns="0" bIns="0" anchor="t" upright="1"/>
        <a:lstStyle/>
        <a:p>
          <a:pPr algn="l" rtl="0">
            <a:lnSpc>
              <a:spcPts val="3300"/>
            </a:lnSpc>
            <a:defRPr sz="1000"/>
          </a:pPr>
          <a:endParaRPr lang="ja-JP" altLang="en-US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【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休出選択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】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土、日、祭日等、休みに出勤した場合に選択する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・残業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残業計算の対象にする場合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・振休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別日に振替の休日を取る場合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　　　　（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時間以上の勤務が必要）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・半振休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別日に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4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時間分の振休を取る場合</a:t>
          </a:r>
        </a:p>
        <a:p>
          <a:pPr algn="l" rtl="0">
            <a:lnSpc>
              <a:spcPts val="32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　　　　　（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4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時間以上の勤務が必要）</a:t>
          </a:r>
        </a:p>
      </xdr:txBody>
    </xdr:sp>
    <xdr:clientData/>
  </xdr:twoCellAnchor>
  <xdr:twoCellAnchor editAs="oneCell">
    <xdr:from>
      <xdr:col>86</xdr:col>
      <xdr:colOff>55563</xdr:colOff>
      <xdr:row>20</xdr:row>
      <xdr:rowOff>63500</xdr:rowOff>
    </xdr:from>
    <xdr:to>
      <xdr:col>126</xdr:col>
      <xdr:colOff>63500</xdr:colOff>
      <xdr:row>33</xdr:row>
      <xdr:rowOff>127000</xdr:rowOff>
    </xdr:to>
    <xdr:sp macro="" textlink="">
      <xdr:nvSpPr>
        <xdr:cNvPr id="16" name="AutoShape 30"/>
        <xdr:cNvSpPr>
          <a:spLocks noChangeArrowheads="1"/>
        </xdr:cNvSpPr>
      </xdr:nvSpPr>
      <xdr:spPr bwMode="auto">
        <a:xfrm>
          <a:off x="24439563" y="7874000"/>
          <a:ext cx="15247937" cy="5429250"/>
        </a:xfrm>
        <a:prstGeom prst="wedgeRectCallout">
          <a:avLst>
            <a:gd name="adj1" fmla="val -91544"/>
            <a:gd name="adj2" fmla="val -96502"/>
          </a:avLst>
        </a:prstGeom>
        <a:solidFill>
          <a:srgbClr val="FFFFFF"/>
        </a:solidFill>
        <a:ln w="57150">
          <a:solidFill>
            <a:srgbClr val="333333"/>
          </a:solidFill>
          <a:miter lim="800000"/>
          <a:headEnd/>
          <a:tailEnd/>
        </a:ln>
      </xdr:spPr>
      <xdr:txBody>
        <a:bodyPr vertOverflow="clip" wrap="square" lIns="54864" tIns="32004" rIns="0" bIns="0" anchor="t" upright="1"/>
        <a:lstStyle/>
        <a:p>
          <a:pPr algn="l" rtl="0">
            <a:lnSpc>
              <a:spcPts val="3300"/>
            </a:lnSpc>
            <a:defRPr sz="1000"/>
          </a:pPr>
          <a:endParaRPr lang="ja-JP" altLang="en-US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【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休暇選択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】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平日に休んだ場合に選択する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・有休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…1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日有休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・時間有休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…1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時間単位で有休を使用する場合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・欠勤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有休を使用しない場合（欠勤控除処理）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・慶弔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結婚、出産、弔事等の慶弔休暇の場合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・振休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休日出勤をして取得した振替休日を使用する場合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・時間振休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休日出勤をして取得した振替休日を時間単位で使用する場合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2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・記念日休暇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…6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月に申請した記念日休暇を使用する場合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・その他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…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会社都合の休み等、その他の場合</a:t>
          </a:r>
        </a:p>
        <a:p>
          <a:pPr algn="l" rtl="0">
            <a:lnSpc>
              <a:spcPts val="3200"/>
            </a:lnSpc>
            <a:defRPr sz="1000"/>
          </a:pPr>
          <a:endParaRPr lang="ja-JP" altLang="en-US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89</xdr:col>
      <xdr:colOff>95250</xdr:colOff>
      <xdr:row>8</xdr:row>
      <xdr:rowOff>381000</xdr:rowOff>
    </xdr:from>
    <xdr:to>
      <xdr:col>103</xdr:col>
      <xdr:colOff>31750</xdr:colOff>
      <xdr:row>17</xdr:row>
      <xdr:rowOff>317500</xdr:rowOff>
    </xdr:to>
    <xdr:sp macro="" textlink="">
      <xdr:nvSpPr>
        <xdr:cNvPr id="17" name="正方形/長方形 16"/>
        <xdr:cNvSpPr/>
      </xdr:nvSpPr>
      <xdr:spPr>
        <a:xfrm>
          <a:off x="25622250" y="3238500"/>
          <a:ext cx="5270500" cy="3651250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 editAs="oneCell">
    <xdr:from>
      <xdr:col>106</xdr:col>
      <xdr:colOff>254001</xdr:colOff>
      <xdr:row>3</xdr:row>
      <xdr:rowOff>317500</xdr:rowOff>
    </xdr:from>
    <xdr:to>
      <xdr:col>126</xdr:col>
      <xdr:colOff>0</xdr:colOff>
      <xdr:row>16</xdr:row>
      <xdr:rowOff>95249</xdr:rowOff>
    </xdr:to>
    <xdr:sp macro="" textlink="">
      <xdr:nvSpPr>
        <xdr:cNvPr id="18" name="AutoShape 30"/>
        <xdr:cNvSpPr>
          <a:spLocks noChangeArrowheads="1"/>
        </xdr:cNvSpPr>
      </xdr:nvSpPr>
      <xdr:spPr bwMode="auto">
        <a:xfrm>
          <a:off x="32258001" y="1397000"/>
          <a:ext cx="7365999" cy="4857749"/>
        </a:xfrm>
        <a:prstGeom prst="wedgeRectCallout">
          <a:avLst>
            <a:gd name="adj1" fmla="val -64892"/>
            <a:gd name="adj2" fmla="val -196"/>
          </a:avLst>
        </a:prstGeom>
        <a:solidFill>
          <a:srgbClr val="FFFFFF"/>
        </a:solidFill>
        <a:ln w="57150">
          <a:solidFill>
            <a:srgbClr val="333333"/>
          </a:solidFill>
          <a:miter lim="800000"/>
          <a:headEnd/>
          <a:tailEnd/>
        </a:ln>
      </xdr:spPr>
      <xdr:txBody>
        <a:bodyPr vertOverflow="clip" wrap="square" lIns="54864" tIns="32004" rIns="0" bIns="0" anchor="t" upright="1"/>
        <a:lstStyle/>
        <a:p>
          <a:pPr algn="l" rtl="0">
            <a:lnSpc>
              <a:spcPts val="3300"/>
            </a:lnSpc>
            <a:defRPr sz="1000"/>
          </a:pPr>
          <a:endParaRPr lang="ja-JP" altLang="en-US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【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有休時間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】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休暇選択にて時間有休、時間振休を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選択した場合に入力する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・お昼休憩を除いた有休使用時間を入力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・中抜けする場合は、同じ時間を休憩時間にも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加算する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・時間有休、時間振休以外では入力しても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2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反映されません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2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（自動で合計に加算されます）</a:t>
          </a:r>
        </a:p>
      </xdr:txBody>
    </xdr:sp>
    <xdr:clientData/>
  </xdr:twoCellAnchor>
  <xdr:twoCellAnchor>
    <xdr:from>
      <xdr:col>25</xdr:col>
      <xdr:colOff>38100</xdr:colOff>
      <xdr:row>7</xdr:row>
      <xdr:rowOff>161925</xdr:rowOff>
    </xdr:from>
    <xdr:to>
      <xdr:col>32</xdr:col>
      <xdr:colOff>28575</xdr:colOff>
      <xdr:row>15</xdr:row>
      <xdr:rowOff>352425</xdr:rowOff>
    </xdr:to>
    <xdr:sp macro="" textlink="">
      <xdr:nvSpPr>
        <xdr:cNvPr id="3302" name="Rectangle 26"/>
        <xdr:cNvSpPr>
          <a:spLocks noChangeArrowheads="1"/>
        </xdr:cNvSpPr>
      </xdr:nvSpPr>
      <xdr:spPr bwMode="auto">
        <a:xfrm>
          <a:off x="10715625" y="2695575"/>
          <a:ext cx="2952750" cy="3438525"/>
        </a:xfrm>
        <a:prstGeom prst="rect">
          <a:avLst/>
        </a:prstGeom>
        <a:noFill/>
        <a:ln w="76200">
          <a:solidFill>
            <a:srgbClr val="008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25</xdr:col>
      <xdr:colOff>190500</xdr:colOff>
      <xdr:row>36</xdr:row>
      <xdr:rowOff>1</xdr:rowOff>
    </xdr:from>
    <xdr:to>
      <xdr:col>74</xdr:col>
      <xdr:colOff>222250</xdr:colOff>
      <xdr:row>46</xdr:row>
      <xdr:rowOff>158751</xdr:rowOff>
    </xdr:to>
    <xdr:sp macro="" textlink="">
      <xdr:nvSpPr>
        <xdr:cNvPr id="25" name="AutoShape 30"/>
        <xdr:cNvSpPr>
          <a:spLocks noChangeArrowheads="1"/>
        </xdr:cNvSpPr>
      </xdr:nvSpPr>
      <xdr:spPr bwMode="auto">
        <a:xfrm>
          <a:off x="11239500" y="14414501"/>
          <a:ext cx="8794750" cy="3810000"/>
        </a:xfrm>
        <a:prstGeom prst="wedgeRectCallout">
          <a:avLst>
            <a:gd name="adj1" fmla="val -34506"/>
            <a:gd name="adj2" fmla="val -282546"/>
          </a:avLst>
        </a:prstGeom>
        <a:solidFill>
          <a:srgbClr val="FFFFFF"/>
        </a:solidFill>
        <a:ln w="57150">
          <a:solidFill>
            <a:srgbClr val="333333"/>
          </a:solidFill>
          <a:miter lim="800000"/>
          <a:headEnd/>
          <a:tailEnd/>
        </a:ln>
      </xdr:spPr>
      <xdr:txBody>
        <a:bodyPr vertOverflow="clip" wrap="square" lIns="54864" tIns="32004" rIns="0" bIns="0" anchor="t" upright="1"/>
        <a:lstStyle/>
        <a:p>
          <a:pPr algn="l" rtl="0">
            <a:lnSpc>
              <a:spcPts val="3300"/>
            </a:lnSpc>
            <a:defRPr sz="1000"/>
          </a:pPr>
          <a:endParaRPr lang="ja-JP" altLang="en-US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【</a:t>
          </a: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備考</a:t>
          </a:r>
          <a:r>
            <a:rPr lang="en-US" altLang="ja-JP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】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補足事項を記入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・有休、欠勤理由、遅刻早退理由等を入力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・時間有休、時間振休の場合は、有休時間帯も入力</a:t>
          </a: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・顧客先作業の場合で自社対応した時に入力</a:t>
          </a:r>
          <a:endParaRPr lang="en-US" altLang="ja-JP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3300"/>
            </a:lnSpc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例）帰社会議、勉強会など</a:t>
          </a:r>
        </a:p>
        <a:p>
          <a:pPr algn="l" rtl="0">
            <a:lnSpc>
              <a:spcPts val="3300"/>
            </a:lnSpc>
            <a:defRPr sz="1000"/>
          </a:pPr>
          <a:endParaRPr lang="ja-JP" altLang="en-US" sz="28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H52"/>
  <sheetViews>
    <sheetView tabSelected="1" view="pageBreakPreview" zoomScale="85" zoomScaleNormal="85" zoomScaleSheetLayoutView="85" workbookViewId="0"/>
  </sheetViews>
  <sheetFormatPr defaultColWidth="5.125" defaultRowHeight="24.95" customHeight="1" x14ac:dyDescent="0.15"/>
  <cols>
    <col min="1" max="1" width="5.125" style="1" customWidth="1"/>
    <col min="2" max="31" width="5.625" style="1" customWidth="1"/>
    <col min="32" max="33" width="5.125" style="1" customWidth="1"/>
    <col min="34" max="34" width="18.75" style="1" hidden="1" customWidth="1"/>
    <col min="35" max="35" width="12.5" style="1" hidden="1" customWidth="1"/>
    <col min="36" max="36" width="2.75" style="1" hidden="1" customWidth="1"/>
    <col min="37" max="37" width="7.875" style="1" hidden="1" customWidth="1"/>
    <col min="38" max="38" width="2.75" style="2" hidden="1" customWidth="1"/>
    <col min="39" max="39" width="7.75" style="1" hidden="1" customWidth="1"/>
    <col min="40" max="40" width="16" style="1" hidden="1" customWidth="1"/>
    <col min="41" max="41" width="17.125" style="1" hidden="1" customWidth="1"/>
    <col min="42" max="44" width="16" style="1" hidden="1" customWidth="1"/>
    <col min="45" max="49" width="14.875" style="1" hidden="1" customWidth="1"/>
    <col min="50" max="52" width="16" style="1" hidden="1" customWidth="1"/>
    <col min="53" max="53" width="6.75" style="1" hidden="1" customWidth="1"/>
    <col min="54" max="55" width="7.75" style="1" hidden="1" customWidth="1"/>
    <col min="56" max="60" width="2.75" style="1" hidden="1" customWidth="1"/>
    <col min="61" max="16384" width="5.125" style="1"/>
  </cols>
  <sheetData>
    <row r="1" spans="2:60" ht="24.95" customHeight="1" thickBot="1" x14ac:dyDescent="0.2">
      <c r="AL1" s="1"/>
      <c r="AN1" s="75" t="s">
        <v>59</v>
      </c>
      <c r="AQ1" s="2"/>
    </row>
    <row r="2" spans="2:60" ht="30" customHeight="1" thickBot="1" x14ac:dyDescent="0.2">
      <c r="B2" s="3"/>
      <c r="C2" s="4"/>
      <c r="D2" s="4"/>
      <c r="E2" s="4"/>
      <c r="F2" s="5"/>
      <c r="G2" s="5"/>
      <c r="H2" s="79">
        <v>2014</v>
      </c>
      <c r="I2" s="79"/>
      <c r="J2" s="4" t="s">
        <v>0</v>
      </c>
      <c r="K2" s="6">
        <v>7</v>
      </c>
      <c r="L2" s="80" t="s">
        <v>1</v>
      </c>
      <c r="M2" s="81"/>
      <c r="N2" s="4"/>
      <c r="O2" s="4"/>
      <c r="P2" s="4"/>
      <c r="Q2" s="4"/>
      <c r="R2" s="4"/>
      <c r="S2" s="4"/>
      <c r="T2" s="7"/>
      <c r="X2" s="8"/>
      <c r="Y2" s="8"/>
      <c r="Z2" s="8"/>
      <c r="AA2" s="8"/>
      <c r="AB2" s="8"/>
      <c r="AC2" s="8"/>
      <c r="AD2" s="8"/>
      <c r="AE2" s="8"/>
      <c r="AF2" s="8"/>
      <c r="AG2" s="8"/>
      <c r="AH2" s="9" t="s">
        <v>40</v>
      </c>
      <c r="AI2" s="10" t="s">
        <v>2</v>
      </c>
      <c r="AJ2" s="10">
        <f t="shared" ref="AJ2:AJ9" si="0">COUNTIF($E$10:$F$40,AI2)</f>
        <v>0</v>
      </c>
      <c r="AK2" s="10" t="s">
        <v>3</v>
      </c>
      <c r="AL2" s="11">
        <f>COUNTIF($G$10:$H$40,AK2)</f>
        <v>0</v>
      </c>
      <c r="AN2" s="1">
        <v>15</v>
      </c>
    </row>
    <row r="3" spans="2:60" ht="30" customHeight="1" thickBot="1" x14ac:dyDescent="0.2">
      <c r="B3" s="82" t="s">
        <v>4</v>
      </c>
      <c r="C3" s="83"/>
      <c r="D3" s="83"/>
      <c r="E3" s="83"/>
      <c r="F3" s="84"/>
      <c r="G3" s="85" t="s">
        <v>57</v>
      </c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7"/>
      <c r="X3" s="88" t="s">
        <v>5</v>
      </c>
      <c r="Y3" s="89"/>
      <c r="Z3" s="90">
        <f>31-COUNTBLANK(Q10:Q40)</f>
        <v>0</v>
      </c>
      <c r="AA3" s="91"/>
      <c r="AB3" s="88" t="s">
        <v>44</v>
      </c>
      <c r="AC3" s="92"/>
      <c r="AD3" s="93">
        <f>AJ6+(AJ7*0.5)</f>
        <v>0</v>
      </c>
      <c r="AE3" s="94"/>
      <c r="AH3" s="12" t="s">
        <v>41</v>
      </c>
      <c r="AI3" s="13" t="s">
        <v>43</v>
      </c>
      <c r="AJ3" s="13">
        <f t="shared" si="0"/>
        <v>0</v>
      </c>
      <c r="AK3" s="13" t="s">
        <v>6</v>
      </c>
      <c r="AL3" s="14">
        <f>COUNTIF($G$10:$H$40,AK3)</f>
        <v>0</v>
      </c>
    </row>
    <row r="4" spans="2:60" ht="30" customHeight="1" thickBot="1" x14ac:dyDescent="0.2">
      <c r="B4" s="95" t="s">
        <v>7</v>
      </c>
      <c r="C4" s="96"/>
      <c r="D4" s="96"/>
      <c r="E4" s="96"/>
      <c r="F4" s="97"/>
      <c r="G4" s="98" t="s">
        <v>58</v>
      </c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100"/>
      <c r="V4" s="15"/>
      <c r="W4" s="15"/>
      <c r="X4" s="101" t="s">
        <v>8</v>
      </c>
      <c r="Y4" s="92"/>
      <c r="Z4" s="93">
        <f>AL3+(AL4*0.5)</f>
        <v>0</v>
      </c>
      <c r="AA4" s="94"/>
      <c r="AB4" s="88" t="s">
        <v>45</v>
      </c>
      <c r="AC4" s="92"/>
      <c r="AD4" s="93">
        <f>AJ6+(AJ7*0.5)</f>
        <v>0</v>
      </c>
      <c r="AE4" s="94"/>
      <c r="AF4" s="16"/>
      <c r="AG4" s="8"/>
      <c r="AH4" s="19" t="s">
        <v>11</v>
      </c>
      <c r="AI4" s="13" t="s">
        <v>10</v>
      </c>
      <c r="AJ4" s="13">
        <f t="shared" si="0"/>
        <v>0</v>
      </c>
      <c r="AK4" s="17" t="s">
        <v>47</v>
      </c>
      <c r="AL4" s="18">
        <f>COUNTIF($G$10:$H$40,AK4)</f>
        <v>0</v>
      </c>
    </row>
    <row r="5" spans="2:60" ht="30" customHeight="1" thickBot="1" x14ac:dyDescent="0.2">
      <c r="B5" s="95" t="s">
        <v>9</v>
      </c>
      <c r="C5" s="96"/>
      <c r="D5" s="96"/>
      <c r="E5" s="96"/>
      <c r="F5" s="97"/>
      <c r="G5" s="98" t="s">
        <v>50</v>
      </c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100"/>
      <c r="V5" s="15"/>
      <c r="W5" s="15"/>
      <c r="X5" s="88" t="s">
        <v>2</v>
      </c>
      <c r="Y5" s="89"/>
      <c r="Z5" s="90">
        <f>AJ2</f>
        <v>0</v>
      </c>
      <c r="AA5" s="111"/>
      <c r="AB5" s="88" t="s">
        <v>10</v>
      </c>
      <c r="AC5" s="89"/>
      <c r="AD5" s="102">
        <f>COUNTIF($E$10:$F$40,AI4)</f>
        <v>0</v>
      </c>
      <c r="AE5" s="103"/>
      <c r="AF5" s="16"/>
      <c r="AG5" s="8"/>
      <c r="AH5" s="2"/>
      <c r="AI5" s="13" t="s">
        <v>13</v>
      </c>
      <c r="AJ5" s="13">
        <f t="shared" si="0"/>
        <v>0</v>
      </c>
      <c r="AK5" s="8"/>
    </row>
    <row r="6" spans="2:60" ht="30" customHeight="1" thickBot="1" x14ac:dyDescent="0.2">
      <c r="B6" s="104" t="s">
        <v>12</v>
      </c>
      <c r="C6" s="105"/>
      <c r="D6" s="105"/>
      <c r="E6" s="105"/>
      <c r="F6" s="106"/>
      <c r="G6" s="107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9"/>
      <c r="V6" s="15"/>
      <c r="W6" s="15"/>
      <c r="X6" s="88" t="s">
        <v>43</v>
      </c>
      <c r="Y6" s="89"/>
      <c r="Z6" s="112">
        <f>SUM(BE:BE)</f>
        <v>0</v>
      </c>
      <c r="AA6" s="113"/>
      <c r="AB6" s="88" t="s">
        <v>13</v>
      </c>
      <c r="AC6" s="92"/>
      <c r="AD6" s="102">
        <f>COUNTIF($E$10:$F$40,AI5)</f>
        <v>0</v>
      </c>
      <c r="AE6" s="110"/>
      <c r="AH6" s="2"/>
      <c r="AI6" s="13" t="s">
        <v>6</v>
      </c>
      <c r="AJ6" s="13">
        <f t="shared" si="0"/>
        <v>0</v>
      </c>
    </row>
    <row r="7" spans="2:60" ht="24.95" customHeight="1" thickBot="1" x14ac:dyDescent="0.2">
      <c r="B7" s="20"/>
      <c r="C7" s="20"/>
      <c r="D7" s="20"/>
      <c r="E7" s="20"/>
      <c r="F7" s="20"/>
      <c r="G7" s="20"/>
      <c r="H7" s="20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AB7" s="88" t="s">
        <v>14</v>
      </c>
      <c r="AC7" s="92"/>
      <c r="AD7" s="102">
        <f>AJ9</f>
        <v>0</v>
      </c>
      <c r="AE7" s="110"/>
      <c r="AH7" s="2"/>
      <c r="AI7" s="13" t="s">
        <v>42</v>
      </c>
      <c r="AJ7" s="13">
        <f t="shared" si="0"/>
        <v>0</v>
      </c>
    </row>
    <row r="8" spans="2:60" ht="24.95" customHeight="1" thickBot="1" x14ac:dyDescent="0.2">
      <c r="E8" s="8"/>
      <c r="F8" s="8"/>
      <c r="I8" s="8"/>
      <c r="J8" s="8"/>
      <c r="AH8" s="22"/>
      <c r="AI8" s="13" t="s">
        <v>46</v>
      </c>
      <c r="AJ8" s="13">
        <f t="shared" si="0"/>
        <v>0</v>
      </c>
    </row>
    <row r="9" spans="2:60" s="23" customFormat="1" ht="33" customHeight="1" thickBot="1" x14ac:dyDescent="0.2">
      <c r="B9" s="114" t="s">
        <v>15</v>
      </c>
      <c r="C9" s="115"/>
      <c r="D9" s="115"/>
      <c r="E9" s="116" t="s">
        <v>16</v>
      </c>
      <c r="F9" s="117"/>
      <c r="G9" s="118" t="s">
        <v>17</v>
      </c>
      <c r="H9" s="117"/>
      <c r="I9" s="118" t="s">
        <v>18</v>
      </c>
      <c r="J9" s="117"/>
      <c r="K9" s="118" t="s">
        <v>19</v>
      </c>
      <c r="L9" s="117"/>
      <c r="M9" s="118" t="s">
        <v>20</v>
      </c>
      <c r="N9" s="117"/>
      <c r="O9" s="118" t="s">
        <v>21</v>
      </c>
      <c r="P9" s="117"/>
      <c r="Q9" s="118" t="s">
        <v>22</v>
      </c>
      <c r="R9" s="117"/>
      <c r="S9" s="118" t="s">
        <v>48</v>
      </c>
      <c r="T9" s="117"/>
      <c r="U9" s="118" t="s">
        <v>23</v>
      </c>
      <c r="V9" s="117"/>
      <c r="W9" s="118" t="s">
        <v>24</v>
      </c>
      <c r="X9" s="117"/>
      <c r="Y9" s="118" t="s">
        <v>25</v>
      </c>
      <c r="Z9" s="117"/>
      <c r="AA9" s="119" t="s">
        <v>26</v>
      </c>
      <c r="AB9" s="120"/>
      <c r="AC9" s="120"/>
      <c r="AD9" s="120"/>
      <c r="AE9" s="121"/>
      <c r="AF9" s="22"/>
      <c r="AG9" s="22"/>
      <c r="AH9" s="29"/>
      <c r="AI9" s="17" t="s">
        <v>14</v>
      </c>
      <c r="AJ9" s="17">
        <f t="shared" si="0"/>
        <v>0</v>
      </c>
      <c r="AL9" s="2"/>
    </row>
    <row r="10" spans="2:60" ht="33" customHeight="1" thickTop="1" x14ac:dyDescent="0.15">
      <c r="B10" s="122">
        <f>DATE(H2,K2-1,16)</f>
        <v>41806</v>
      </c>
      <c r="C10" s="123"/>
      <c r="D10" s="24" t="str">
        <f>TEXT(B10,"aaa")</f>
        <v>月</v>
      </c>
      <c r="E10" s="124"/>
      <c r="F10" s="125"/>
      <c r="G10" s="126"/>
      <c r="H10" s="127"/>
      <c r="I10" s="25"/>
      <c r="J10" s="26"/>
      <c r="K10" s="25"/>
      <c r="L10" s="26"/>
      <c r="M10" s="27" t="str">
        <f t="shared" ref="M10:M40" si="1">IF(AM10,HOUR(AS10)+DAY(AS10)*24,"")</f>
        <v/>
      </c>
      <c r="N10" s="28" t="str">
        <f t="shared" ref="N10:N40" si="2">IF(AM10,MINUTE(AS10),"")</f>
        <v/>
      </c>
      <c r="O10" s="25"/>
      <c r="P10" s="26"/>
      <c r="Q10" s="27" t="str">
        <f t="shared" ref="Q10:Q37" si="3">IF(OR(M10="",N10=""),"",HOUR(AT10)+DAY(AT10)*24)</f>
        <v/>
      </c>
      <c r="R10" s="28" t="str">
        <f t="shared" ref="R10:R37" si="4">IF(OR(M10="",N10=""),"",MINUTE(AT10))</f>
        <v/>
      </c>
      <c r="S10" s="27"/>
      <c r="T10" s="28" t="str">
        <f>IF(S10="","",0)</f>
        <v/>
      </c>
      <c r="U10" s="27" t="str">
        <f t="shared" ref="U10:U39" si="5">IF(AND(WEEKDAY(B10)&lt;&gt;1,AM10,AW10&gt;0),HOUR(AW10),"")</f>
        <v/>
      </c>
      <c r="V10" s="28" t="str">
        <f t="shared" ref="V10:V40" si="6">IF(AND(WEEKDAY(B10)&lt;&gt;1,AM10,AW10),MINUTE(AW10),"")</f>
        <v/>
      </c>
      <c r="W10" s="27" t="str">
        <f t="shared" ref="W10:W40" si="7">IF(AND(WEEKDAY(B10)=1,AM10),HOUR(AZ10),"")</f>
        <v/>
      </c>
      <c r="X10" s="28" t="str">
        <f t="shared" ref="X10:X40" si="8">IF(AND(WEEKDAY(B10)=1,AM10),MINUTE(AZ10),"")</f>
        <v/>
      </c>
      <c r="Y10" s="27" t="str">
        <f t="shared" ref="Y10:Y40" si="9">IF(AND(WEEKDAY(B10)=1,AM10,AW10&gt;0),HOUR(AW10),"")</f>
        <v/>
      </c>
      <c r="Z10" s="28" t="str">
        <f t="shared" ref="Z10:Z40" si="10">IF(AND(WEEKDAY(B10)=1,AM10,AW10),MINUTE(AW10),"")</f>
        <v/>
      </c>
      <c r="AA10" s="128"/>
      <c r="AB10" s="128"/>
      <c r="AC10" s="128"/>
      <c r="AD10" s="128"/>
      <c r="AE10" s="129"/>
      <c r="AF10" s="29"/>
      <c r="AG10" s="29"/>
      <c r="AH10" s="29"/>
      <c r="AI10" s="22"/>
      <c r="AJ10" s="22"/>
      <c r="AK10" s="22"/>
      <c r="AL10" s="30"/>
      <c r="AM10" s="31" t="b">
        <f>IF(OR(I10="",J10="",K10="",L10=""),FALSE,TRUE)</f>
        <v>0</v>
      </c>
      <c r="AN10" s="32">
        <f>B10+TIME(5,0,0)</f>
        <v>41806.208333333336</v>
      </c>
      <c r="AO10" s="69">
        <f>B10+TIME(22,0,0)</f>
        <v>41806.916666666664</v>
      </c>
      <c r="AP10" s="33">
        <f>B10+1+TIME(5,0,0)</f>
        <v>41807.208333333336</v>
      </c>
      <c r="AQ10" s="34">
        <f>B10+TIME(I10,J10,0)</f>
        <v>41806</v>
      </c>
      <c r="AR10" s="35">
        <f t="shared" ref="AR10:AR40" si="11">IF(AQ10&lt;B10+TIME(K10,L10,0),B10+TIME(K10,L10,0),B10+1+TIME(K10,L10,0))</f>
        <v>41807</v>
      </c>
      <c r="AS10" s="35">
        <f>AR10-AQ10</f>
        <v>1</v>
      </c>
      <c r="AT10" s="36">
        <f t="shared" ref="AT10:AT29" si="12">IF(AS10&gt;TIME(O10,P10,0),AS10-TIME(O10,P10,0),0)</f>
        <v>1</v>
      </c>
      <c r="AU10" s="34">
        <f t="shared" ref="AU10:AU40" si="13">IF(AQ10&lt;AN10,IF(AR10&lt;AN10,AR10-AQ10,AN10-AQ10),0)</f>
        <v>0.20833333333575865</v>
      </c>
      <c r="AV10" s="35">
        <f t="shared" ref="AV10:AV29" si="14">IF(AQ10&gt;AO10,IF(AR10&gt;AP10,AP10,AR10)-AQ10,IF(AR10&gt;AO10,IF(AR10&gt;AP10,AP10,AR10)-AO10,0))</f>
        <v>8.3333333335758653E-2</v>
      </c>
      <c r="AW10" s="36">
        <f t="shared" ref="AW10:AW40" si="15">AU10+AV10</f>
        <v>0.29166666667151731</v>
      </c>
      <c r="AX10" s="34">
        <f t="shared" ref="AX10:AX40" si="16">IF(AQ10&gt;AN10,AQ10,AN10)</f>
        <v>41806.208333333336</v>
      </c>
      <c r="AY10" s="35">
        <f>IF(AR10&lt;AP10,AR10,AP10)</f>
        <v>41807</v>
      </c>
      <c r="AZ10" s="36">
        <f t="shared" ref="AZ10:AZ40" si="17">AY10-AX10-TIME(O10,P10,0)</f>
        <v>0.79166666666424135</v>
      </c>
      <c r="BA10" s="9" t="b">
        <f>IF(CONCATENATE(I10,J10,K10,L10,O10,P10)="",TRUE,FALSE)</f>
        <v>1</v>
      </c>
      <c r="BB10" s="37" t="b">
        <f>IF(OR(I10="",J10="",K10="",L10="",O10="",P10=""),FALSE,TRUE)</f>
        <v>0</v>
      </c>
      <c r="BC10" s="38" t="b">
        <f>NOT(OR(BA10,BB10))</f>
        <v>0</v>
      </c>
      <c r="BD10" s="9">
        <f>IF(OR(E10=$AI$2,E10=$AI$5,E10=$AI$6,E10=$AI$8),8,0)</f>
        <v>0</v>
      </c>
      <c r="BE10" s="37">
        <f>IF(OR(E10=$AI$3,E10=$AI$7),ABS(S10),0)</f>
        <v>0</v>
      </c>
      <c r="BF10" s="9">
        <f>IF(G10=$AK$3,-8,0)</f>
        <v>0</v>
      </c>
      <c r="BG10" s="38">
        <f>IF(G10=$AK$4,-4,0)</f>
        <v>0</v>
      </c>
      <c r="BH10" s="10">
        <f>SUM(BD10:BG10)</f>
        <v>0</v>
      </c>
    </row>
    <row r="11" spans="2:60" ht="33" customHeight="1" x14ac:dyDescent="0.15">
      <c r="B11" s="130">
        <f>B10+1</f>
        <v>41807</v>
      </c>
      <c r="C11" s="131"/>
      <c r="D11" s="39" t="str">
        <f t="shared" ref="D11:D40" si="18">TEXT(B11,"aaa")</f>
        <v>火</v>
      </c>
      <c r="E11" s="132"/>
      <c r="F11" s="133"/>
      <c r="G11" s="134"/>
      <c r="H11" s="135"/>
      <c r="I11" s="40"/>
      <c r="J11" s="41"/>
      <c r="K11" s="40"/>
      <c r="L11" s="41"/>
      <c r="M11" s="42" t="str">
        <f t="shared" si="1"/>
        <v/>
      </c>
      <c r="N11" s="43" t="str">
        <f t="shared" si="2"/>
        <v/>
      </c>
      <c r="O11" s="40"/>
      <c r="P11" s="41"/>
      <c r="Q11" s="42" t="str">
        <f t="shared" si="3"/>
        <v/>
      </c>
      <c r="R11" s="43" t="str">
        <f t="shared" si="4"/>
        <v/>
      </c>
      <c r="S11" s="42"/>
      <c r="T11" s="43" t="str">
        <f t="shared" ref="T11:T40" si="19">IF(S11="","",0)</f>
        <v/>
      </c>
      <c r="U11" s="42" t="str">
        <f t="shared" si="5"/>
        <v/>
      </c>
      <c r="V11" s="43" t="str">
        <f t="shared" si="6"/>
        <v/>
      </c>
      <c r="W11" s="42" t="str">
        <f t="shared" si="7"/>
        <v/>
      </c>
      <c r="X11" s="43" t="str">
        <f t="shared" si="8"/>
        <v/>
      </c>
      <c r="Y11" s="42" t="str">
        <f t="shared" si="9"/>
        <v/>
      </c>
      <c r="Z11" s="43" t="str">
        <f t="shared" si="10"/>
        <v/>
      </c>
      <c r="AA11" s="136"/>
      <c r="AB11" s="136"/>
      <c r="AC11" s="136"/>
      <c r="AD11" s="136"/>
      <c r="AE11" s="137"/>
      <c r="AF11" s="29"/>
      <c r="AG11" s="29"/>
      <c r="AH11" s="29"/>
      <c r="AI11" s="29"/>
      <c r="AJ11" s="29"/>
      <c r="AK11" s="29"/>
      <c r="AL11" s="44"/>
      <c r="AM11" s="45" t="b">
        <f t="shared" ref="AM11:AM36" si="20">IF(OR(I11="",J11="",K11="",L11=""),FALSE,TRUE)</f>
        <v>0</v>
      </c>
      <c r="AN11" s="46">
        <f t="shared" ref="AN11:AN40" si="21">B11+TIME(5,0,0)</f>
        <v>41807.208333333336</v>
      </c>
      <c r="AO11" s="70">
        <f t="shared" ref="AO11:AO40" si="22">B11+TIME(22,0,0)</f>
        <v>41807.916666666664</v>
      </c>
      <c r="AP11" s="47">
        <f t="shared" ref="AP11:AP40" si="23">B11+1+TIME(5,0,0)</f>
        <v>41808.208333333336</v>
      </c>
      <c r="AQ11" s="48">
        <f>B11+TIME(I11,J11,0)</f>
        <v>41807</v>
      </c>
      <c r="AR11" s="49">
        <f t="shared" si="11"/>
        <v>41808</v>
      </c>
      <c r="AS11" s="49">
        <f>AR11-AQ11</f>
        <v>1</v>
      </c>
      <c r="AT11" s="50">
        <f t="shared" si="12"/>
        <v>1</v>
      </c>
      <c r="AU11" s="48">
        <f t="shared" si="13"/>
        <v>0.20833333333575865</v>
      </c>
      <c r="AV11" s="49">
        <f t="shared" si="14"/>
        <v>8.3333333335758653E-2</v>
      </c>
      <c r="AW11" s="50">
        <f t="shared" si="15"/>
        <v>0.29166666667151731</v>
      </c>
      <c r="AX11" s="48">
        <f t="shared" si="16"/>
        <v>41807.208333333336</v>
      </c>
      <c r="AY11" s="49">
        <f t="shared" ref="AY11:AY40" si="24">IF(AR11&lt;AP11,AR11,AP11)</f>
        <v>41808</v>
      </c>
      <c r="AZ11" s="50">
        <f t="shared" si="17"/>
        <v>0.79166666666424135</v>
      </c>
      <c r="BA11" s="12" t="b">
        <f t="shared" ref="BA11:BA40" si="25">IF(CONCATENATE(I11,J11,K11,L11,O11,P11)="",TRUE,FALSE)</f>
        <v>1</v>
      </c>
      <c r="BB11" s="8" t="b">
        <f t="shared" ref="BB11:BB40" si="26">IF(OR(I11="",J11="",K11="",L11="",O11="",P11=""),FALSE,TRUE)</f>
        <v>0</v>
      </c>
      <c r="BC11" s="51" t="b">
        <f t="shared" ref="BC11:BC40" si="27">NOT(OR(BA11,BB11))</f>
        <v>0</v>
      </c>
      <c r="BD11" s="12">
        <f t="shared" ref="BD11:BD40" si="28">IF(OR(E11=$AI$2,E11=$AI$5,E11=$AI$6,E11=$AI$8),8,0)</f>
        <v>0</v>
      </c>
      <c r="BE11" s="8">
        <f t="shared" ref="BE11:BE40" si="29">IF(OR(E11=$AI$3,E11=$AI$7),ABS(S11),0)</f>
        <v>0</v>
      </c>
      <c r="BF11" s="12">
        <f t="shared" ref="BF11:BF40" si="30">IF(G11=$AK$3,-8,0)</f>
        <v>0</v>
      </c>
      <c r="BG11" s="51">
        <f t="shared" ref="BG11:BG40" si="31">IF(G11=$AK$4,-4,0)</f>
        <v>0</v>
      </c>
      <c r="BH11" s="13">
        <f t="shared" ref="BH11:BH40" si="32">SUM(BD11:BG11)</f>
        <v>0</v>
      </c>
    </row>
    <row r="12" spans="2:60" ht="33" customHeight="1" x14ac:dyDescent="0.15">
      <c r="B12" s="130">
        <f t="shared" ref="B12:B36" si="33">B11+1</f>
        <v>41808</v>
      </c>
      <c r="C12" s="131"/>
      <c r="D12" s="39" t="str">
        <f t="shared" si="18"/>
        <v>水</v>
      </c>
      <c r="E12" s="132"/>
      <c r="F12" s="133"/>
      <c r="G12" s="134"/>
      <c r="H12" s="135"/>
      <c r="I12" s="40"/>
      <c r="J12" s="41"/>
      <c r="K12" s="40"/>
      <c r="L12" s="41"/>
      <c r="M12" s="42" t="str">
        <f t="shared" si="1"/>
        <v/>
      </c>
      <c r="N12" s="43" t="str">
        <f t="shared" si="2"/>
        <v/>
      </c>
      <c r="O12" s="40"/>
      <c r="P12" s="41"/>
      <c r="Q12" s="42" t="str">
        <f t="shared" si="3"/>
        <v/>
      </c>
      <c r="R12" s="43" t="str">
        <f t="shared" si="4"/>
        <v/>
      </c>
      <c r="S12" s="42"/>
      <c r="T12" s="43" t="str">
        <f t="shared" si="19"/>
        <v/>
      </c>
      <c r="U12" s="42" t="str">
        <f t="shared" si="5"/>
        <v/>
      </c>
      <c r="V12" s="43" t="str">
        <f t="shared" si="6"/>
        <v/>
      </c>
      <c r="W12" s="42" t="str">
        <f t="shared" si="7"/>
        <v/>
      </c>
      <c r="X12" s="43" t="str">
        <f t="shared" si="8"/>
        <v/>
      </c>
      <c r="Y12" s="42" t="str">
        <f t="shared" si="9"/>
        <v/>
      </c>
      <c r="Z12" s="43" t="str">
        <f t="shared" si="10"/>
        <v/>
      </c>
      <c r="AA12" s="136"/>
      <c r="AB12" s="136"/>
      <c r="AC12" s="136"/>
      <c r="AD12" s="136"/>
      <c r="AE12" s="137"/>
      <c r="AF12" s="29"/>
      <c r="AG12" s="29"/>
      <c r="AH12" s="29"/>
      <c r="AI12" s="29"/>
      <c r="AJ12" s="29"/>
      <c r="AK12" s="29"/>
      <c r="AL12" s="44"/>
      <c r="AM12" s="45" t="b">
        <f t="shared" si="20"/>
        <v>0</v>
      </c>
      <c r="AN12" s="46">
        <f t="shared" si="21"/>
        <v>41808.208333333336</v>
      </c>
      <c r="AO12" s="70">
        <f t="shared" si="22"/>
        <v>41808.916666666664</v>
      </c>
      <c r="AP12" s="47">
        <f t="shared" si="23"/>
        <v>41809.208333333336</v>
      </c>
      <c r="AQ12" s="48">
        <f t="shared" ref="AQ12:AQ40" si="34">B12+TIME(I12,J12,0)</f>
        <v>41808</v>
      </c>
      <c r="AR12" s="49">
        <f t="shared" si="11"/>
        <v>41809</v>
      </c>
      <c r="AS12" s="49">
        <f t="shared" ref="AS12:AS40" si="35">AR12-AQ12</f>
        <v>1</v>
      </c>
      <c r="AT12" s="50">
        <f t="shared" si="12"/>
        <v>1</v>
      </c>
      <c r="AU12" s="48">
        <f t="shared" si="13"/>
        <v>0.20833333333575865</v>
      </c>
      <c r="AV12" s="49">
        <f t="shared" si="14"/>
        <v>8.3333333335758653E-2</v>
      </c>
      <c r="AW12" s="50">
        <f t="shared" si="15"/>
        <v>0.29166666667151731</v>
      </c>
      <c r="AX12" s="48">
        <f t="shared" si="16"/>
        <v>41808.208333333336</v>
      </c>
      <c r="AY12" s="49">
        <f t="shared" si="24"/>
        <v>41809</v>
      </c>
      <c r="AZ12" s="50">
        <f t="shared" si="17"/>
        <v>0.79166666666424135</v>
      </c>
      <c r="BA12" s="12" t="b">
        <f t="shared" si="25"/>
        <v>1</v>
      </c>
      <c r="BB12" s="8" t="b">
        <f t="shared" si="26"/>
        <v>0</v>
      </c>
      <c r="BC12" s="51" t="b">
        <f t="shared" si="27"/>
        <v>0</v>
      </c>
      <c r="BD12" s="12">
        <f t="shared" si="28"/>
        <v>0</v>
      </c>
      <c r="BE12" s="8">
        <f t="shared" si="29"/>
        <v>0</v>
      </c>
      <c r="BF12" s="12">
        <f t="shared" si="30"/>
        <v>0</v>
      </c>
      <c r="BG12" s="51">
        <f t="shared" si="31"/>
        <v>0</v>
      </c>
      <c r="BH12" s="13">
        <f t="shared" si="32"/>
        <v>0</v>
      </c>
    </row>
    <row r="13" spans="2:60" ht="33" customHeight="1" x14ac:dyDescent="0.15">
      <c r="B13" s="130">
        <f t="shared" si="33"/>
        <v>41809</v>
      </c>
      <c r="C13" s="131"/>
      <c r="D13" s="39" t="str">
        <f t="shared" si="18"/>
        <v>木</v>
      </c>
      <c r="E13" s="132"/>
      <c r="F13" s="133"/>
      <c r="G13" s="134"/>
      <c r="H13" s="135"/>
      <c r="I13" s="40"/>
      <c r="J13" s="41"/>
      <c r="K13" s="40"/>
      <c r="L13" s="41"/>
      <c r="M13" s="42" t="str">
        <f t="shared" si="1"/>
        <v/>
      </c>
      <c r="N13" s="43" t="str">
        <f t="shared" si="2"/>
        <v/>
      </c>
      <c r="O13" s="40"/>
      <c r="P13" s="41"/>
      <c r="Q13" s="42" t="str">
        <f t="shared" si="3"/>
        <v/>
      </c>
      <c r="R13" s="43" t="str">
        <f t="shared" si="4"/>
        <v/>
      </c>
      <c r="S13" s="42"/>
      <c r="T13" s="43" t="str">
        <f t="shared" si="19"/>
        <v/>
      </c>
      <c r="U13" s="42" t="str">
        <f t="shared" si="5"/>
        <v/>
      </c>
      <c r="V13" s="43" t="str">
        <f t="shared" si="6"/>
        <v/>
      </c>
      <c r="W13" s="42" t="str">
        <f t="shared" si="7"/>
        <v/>
      </c>
      <c r="X13" s="43" t="str">
        <f t="shared" si="8"/>
        <v/>
      </c>
      <c r="Y13" s="42" t="str">
        <f t="shared" si="9"/>
        <v/>
      </c>
      <c r="Z13" s="43" t="str">
        <f t="shared" si="10"/>
        <v/>
      </c>
      <c r="AA13" s="136"/>
      <c r="AB13" s="136"/>
      <c r="AC13" s="136"/>
      <c r="AD13" s="136"/>
      <c r="AE13" s="137"/>
      <c r="AF13" s="29"/>
      <c r="AG13" s="29"/>
      <c r="AH13" s="29"/>
      <c r="AI13" s="29"/>
      <c r="AJ13" s="29"/>
      <c r="AK13" s="29"/>
      <c r="AL13" s="44"/>
      <c r="AM13" s="45" t="b">
        <f t="shared" si="20"/>
        <v>0</v>
      </c>
      <c r="AN13" s="46">
        <f t="shared" si="21"/>
        <v>41809.208333333336</v>
      </c>
      <c r="AO13" s="70">
        <f t="shared" si="22"/>
        <v>41809.916666666664</v>
      </c>
      <c r="AP13" s="47">
        <f t="shared" si="23"/>
        <v>41810.208333333336</v>
      </c>
      <c r="AQ13" s="48">
        <f t="shared" si="34"/>
        <v>41809</v>
      </c>
      <c r="AR13" s="49">
        <f t="shared" si="11"/>
        <v>41810</v>
      </c>
      <c r="AS13" s="49">
        <f t="shared" si="35"/>
        <v>1</v>
      </c>
      <c r="AT13" s="50">
        <f t="shared" si="12"/>
        <v>1</v>
      </c>
      <c r="AU13" s="48">
        <f t="shared" si="13"/>
        <v>0.20833333333575865</v>
      </c>
      <c r="AV13" s="49">
        <f t="shared" si="14"/>
        <v>8.3333333335758653E-2</v>
      </c>
      <c r="AW13" s="50">
        <f t="shared" si="15"/>
        <v>0.29166666667151731</v>
      </c>
      <c r="AX13" s="48">
        <f t="shared" si="16"/>
        <v>41809.208333333336</v>
      </c>
      <c r="AY13" s="49">
        <f t="shared" si="24"/>
        <v>41810</v>
      </c>
      <c r="AZ13" s="50">
        <f t="shared" si="17"/>
        <v>0.79166666666424135</v>
      </c>
      <c r="BA13" s="12" t="b">
        <f t="shared" si="25"/>
        <v>1</v>
      </c>
      <c r="BB13" s="8" t="b">
        <f t="shared" si="26"/>
        <v>0</v>
      </c>
      <c r="BC13" s="51" t="b">
        <f t="shared" si="27"/>
        <v>0</v>
      </c>
      <c r="BD13" s="12">
        <f t="shared" si="28"/>
        <v>0</v>
      </c>
      <c r="BE13" s="8">
        <f t="shared" si="29"/>
        <v>0</v>
      </c>
      <c r="BF13" s="12">
        <f t="shared" si="30"/>
        <v>0</v>
      </c>
      <c r="BG13" s="51">
        <f t="shared" si="31"/>
        <v>0</v>
      </c>
      <c r="BH13" s="13">
        <f t="shared" si="32"/>
        <v>0</v>
      </c>
    </row>
    <row r="14" spans="2:60" ht="33" customHeight="1" x14ac:dyDescent="0.15">
      <c r="B14" s="130">
        <f t="shared" si="33"/>
        <v>41810</v>
      </c>
      <c r="C14" s="131"/>
      <c r="D14" s="39" t="str">
        <f t="shared" si="18"/>
        <v>金</v>
      </c>
      <c r="E14" s="132"/>
      <c r="F14" s="133"/>
      <c r="G14" s="134"/>
      <c r="H14" s="135"/>
      <c r="I14" s="40"/>
      <c r="J14" s="41"/>
      <c r="K14" s="40"/>
      <c r="L14" s="41"/>
      <c r="M14" s="42" t="str">
        <f t="shared" si="1"/>
        <v/>
      </c>
      <c r="N14" s="43" t="str">
        <f t="shared" si="2"/>
        <v/>
      </c>
      <c r="O14" s="40"/>
      <c r="P14" s="41"/>
      <c r="Q14" s="42" t="str">
        <f t="shared" si="3"/>
        <v/>
      </c>
      <c r="R14" s="43" t="str">
        <f t="shared" si="4"/>
        <v/>
      </c>
      <c r="S14" s="42"/>
      <c r="T14" s="43" t="str">
        <f t="shared" si="19"/>
        <v/>
      </c>
      <c r="U14" s="42" t="str">
        <f t="shared" si="5"/>
        <v/>
      </c>
      <c r="V14" s="43" t="str">
        <f t="shared" si="6"/>
        <v/>
      </c>
      <c r="W14" s="42" t="str">
        <f t="shared" si="7"/>
        <v/>
      </c>
      <c r="X14" s="43" t="str">
        <f t="shared" si="8"/>
        <v/>
      </c>
      <c r="Y14" s="42" t="str">
        <f t="shared" si="9"/>
        <v/>
      </c>
      <c r="Z14" s="43" t="str">
        <f t="shared" si="10"/>
        <v/>
      </c>
      <c r="AA14" s="136"/>
      <c r="AB14" s="136"/>
      <c r="AC14" s="136"/>
      <c r="AD14" s="136"/>
      <c r="AE14" s="137"/>
      <c r="AF14" s="29"/>
      <c r="AG14" s="29"/>
      <c r="AH14" s="29"/>
      <c r="AI14" s="29"/>
      <c r="AJ14" s="29"/>
      <c r="AK14" s="29"/>
      <c r="AL14" s="44"/>
      <c r="AM14" s="45" t="b">
        <f t="shared" si="20"/>
        <v>0</v>
      </c>
      <c r="AN14" s="46">
        <f t="shared" si="21"/>
        <v>41810.208333333336</v>
      </c>
      <c r="AO14" s="70">
        <f t="shared" si="22"/>
        <v>41810.916666666664</v>
      </c>
      <c r="AP14" s="47">
        <f t="shared" si="23"/>
        <v>41811.208333333336</v>
      </c>
      <c r="AQ14" s="48">
        <f t="shared" si="34"/>
        <v>41810</v>
      </c>
      <c r="AR14" s="49">
        <f t="shared" si="11"/>
        <v>41811</v>
      </c>
      <c r="AS14" s="49">
        <f t="shared" si="35"/>
        <v>1</v>
      </c>
      <c r="AT14" s="50">
        <f t="shared" si="12"/>
        <v>1</v>
      </c>
      <c r="AU14" s="48">
        <f t="shared" si="13"/>
        <v>0.20833333333575865</v>
      </c>
      <c r="AV14" s="49">
        <f t="shared" si="14"/>
        <v>8.3333333335758653E-2</v>
      </c>
      <c r="AW14" s="50">
        <f t="shared" si="15"/>
        <v>0.29166666667151731</v>
      </c>
      <c r="AX14" s="48">
        <f t="shared" si="16"/>
        <v>41810.208333333336</v>
      </c>
      <c r="AY14" s="49">
        <f t="shared" si="24"/>
        <v>41811</v>
      </c>
      <c r="AZ14" s="50">
        <f t="shared" si="17"/>
        <v>0.79166666666424135</v>
      </c>
      <c r="BA14" s="12" t="b">
        <f t="shared" si="25"/>
        <v>1</v>
      </c>
      <c r="BB14" s="8" t="b">
        <f t="shared" si="26"/>
        <v>0</v>
      </c>
      <c r="BC14" s="51" t="b">
        <f t="shared" si="27"/>
        <v>0</v>
      </c>
      <c r="BD14" s="12">
        <f t="shared" si="28"/>
        <v>0</v>
      </c>
      <c r="BE14" s="8">
        <f t="shared" si="29"/>
        <v>0</v>
      </c>
      <c r="BF14" s="12">
        <f t="shared" si="30"/>
        <v>0</v>
      </c>
      <c r="BG14" s="51">
        <f t="shared" si="31"/>
        <v>0</v>
      </c>
      <c r="BH14" s="13">
        <f t="shared" si="32"/>
        <v>0</v>
      </c>
    </row>
    <row r="15" spans="2:60" ht="33" customHeight="1" x14ac:dyDescent="0.15">
      <c r="B15" s="130">
        <f t="shared" si="33"/>
        <v>41811</v>
      </c>
      <c r="C15" s="131"/>
      <c r="D15" s="39" t="str">
        <f t="shared" si="18"/>
        <v>土</v>
      </c>
      <c r="E15" s="132"/>
      <c r="F15" s="133"/>
      <c r="G15" s="134"/>
      <c r="H15" s="135"/>
      <c r="I15" s="40"/>
      <c r="J15" s="41"/>
      <c r="K15" s="40"/>
      <c r="L15" s="41"/>
      <c r="M15" s="42" t="str">
        <f t="shared" si="1"/>
        <v/>
      </c>
      <c r="N15" s="43" t="str">
        <f t="shared" si="2"/>
        <v/>
      </c>
      <c r="O15" s="40"/>
      <c r="P15" s="41"/>
      <c r="Q15" s="42" t="str">
        <f t="shared" si="3"/>
        <v/>
      </c>
      <c r="R15" s="43" t="str">
        <f t="shared" si="4"/>
        <v/>
      </c>
      <c r="S15" s="42"/>
      <c r="T15" s="43" t="str">
        <f t="shared" si="19"/>
        <v/>
      </c>
      <c r="U15" s="42" t="str">
        <f t="shared" si="5"/>
        <v/>
      </c>
      <c r="V15" s="43" t="str">
        <f t="shared" si="6"/>
        <v/>
      </c>
      <c r="W15" s="42" t="str">
        <f t="shared" si="7"/>
        <v/>
      </c>
      <c r="X15" s="43" t="str">
        <f t="shared" si="8"/>
        <v/>
      </c>
      <c r="Y15" s="42" t="str">
        <f t="shared" si="9"/>
        <v/>
      </c>
      <c r="Z15" s="43" t="str">
        <f t="shared" si="10"/>
        <v/>
      </c>
      <c r="AA15" s="136"/>
      <c r="AB15" s="136"/>
      <c r="AC15" s="136"/>
      <c r="AD15" s="136"/>
      <c r="AE15" s="137"/>
      <c r="AF15" s="29"/>
      <c r="AG15" s="29"/>
      <c r="AH15" s="29"/>
      <c r="AI15" s="29"/>
      <c r="AJ15" s="29"/>
      <c r="AK15" s="29"/>
      <c r="AL15" s="44"/>
      <c r="AM15" s="45" t="b">
        <f t="shared" si="20"/>
        <v>0</v>
      </c>
      <c r="AN15" s="46">
        <f t="shared" si="21"/>
        <v>41811.208333333336</v>
      </c>
      <c r="AO15" s="70">
        <f t="shared" si="22"/>
        <v>41811.916666666664</v>
      </c>
      <c r="AP15" s="47">
        <f t="shared" si="23"/>
        <v>41812.208333333336</v>
      </c>
      <c r="AQ15" s="48">
        <f t="shared" si="34"/>
        <v>41811</v>
      </c>
      <c r="AR15" s="49">
        <f t="shared" si="11"/>
        <v>41812</v>
      </c>
      <c r="AS15" s="49">
        <f t="shared" si="35"/>
        <v>1</v>
      </c>
      <c r="AT15" s="50">
        <f t="shared" si="12"/>
        <v>1</v>
      </c>
      <c r="AU15" s="48">
        <f t="shared" si="13"/>
        <v>0.20833333333575865</v>
      </c>
      <c r="AV15" s="49">
        <f t="shared" si="14"/>
        <v>8.3333333335758653E-2</v>
      </c>
      <c r="AW15" s="50">
        <f t="shared" si="15"/>
        <v>0.29166666667151731</v>
      </c>
      <c r="AX15" s="48">
        <f t="shared" si="16"/>
        <v>41811.208333333336</v>
      </c>
      <c r="AY15" s="49">
        <f t="shared" si="24"/>
        <v>41812</v>
      </c>
      <c r="AZ15" s="50">
        <f t="shared" si="17"/>
        <v>0.79166666666424135</v>
      </c>
      <c r="BA15" s="12" t="b">
        <f t="shared" si="25"/>
        <v>1</v>
      </c>
      <c r="BB15" s="8" t="b">
        <f t="shared" si="26"/>
        <v>0</v>
      </c>
      <c r="BC15" s="51" t="b">
        <f t="shared" si="27"/>
        <v>0</v>
      </c>
      <c r="BD15" s="12">
        <f t="shared" si="28"/>
        <v>0</v>
      </c>
      <c r="BE15" s="8">
        <f t="shared" si="29"/>
        <v>0</v>
      </c>
      <c r="BF15" s="12">
        <f t="shared" si="30"/>
        <v>0</v>
      </c>
      <c r="BG15" s="51">
        <f t="shared" si="31"/>
        <v>0</v>
      </c>
      <c r="BH15" s="13">
        <f t="shared" si="32"/>
        <v>0</v>
      </c>
    </row>
    <row r="16" spans="2:60" ht="33" customHeight="1" x14ac:dyDescent="0.15">
      <c r="B16" s="130">
        <f t="shared" si="33"/>
        <v>41812</v>
      </c>
      <c r="C16" s="131"/>
      <c r="D16" s="39" t="str">
        <f t="shared" si="18"/>
        <v>日</v>
      </c>
      <c r="E16" s="132"/>
      <c r="F16" s="133"/>
      <c r="G16" s="134"/>
      <c r="H16" s="135"/>
      <c r="I16" s="40"/>
      <c r="J16" s="41"/>
      <c r="K16" s="40"/>
      <c r="L16" s="41"/>
      <c r="M16" s="42" t="str">
        <f t="shared" si="1"/>
        <v/>
      </c>
      <c r="N16" s="43" t="str">
        <f t="shared" si="2"/>
        <v/>
      </c>
      <c r="O16" s="40"/>
      <c r="P16" s="41"/>
      <c r="Q16" s="42" t="str">
        <f t="shared" si="3"/>
        <v/>
      </c>
      <c r="R16" s="43" t="str">
        <f t="shared" si="4"/>
        <v/>
      </c>
      <c r="S16" s="42"/>
      <c r="T16" s="43" t="str">
        <f t="shared" si="19"/>
        <v/>
      </c>
      <c r="U16" s="42" t="str">
        <f t="shared" si="5"/>
        <v/>
      </c>
      <c r="V16" s="43" t="str">
        <f t="shared" si="6"/>
        <v/>
      </c>
      <c r="W16" s="42" t="str">
        <f t="shared" si="7"/>
        <v/>
      </c>
      <c r="X16" s="43" t="str">
        <f t="shared" si="8"/>
        <v/>
      </c>
      <c r="Y16" s="42" t="str">
        <f t="shared" si="9"/>
        <v/>
      </c>
      <c r="Z16" s="43" t="str">
        <f t="shared" si="10"/>
        <v/>
      </c>
      <c r="AA16" s="136"/>
      <c r="AB16" s="136"/>
      <c r="AC16" s="136"/>
      <c r="AD16" s="136"/>
      <c r="AE16" s="137"/>
      <c r="AF16" s="29"/>
      <c r="AG16" s="29"/>
      <c r="AH16" s="29"/>
      <c r="AI16" s="29"/>
      <c r="AJ16" s="29"/>
      <c r="AK16" s="29"/>
      <c r="AL16" s="44"/>
      <c r="AM16" s="45" t="b">
        <f t="shared" si="20"/>
        <v>0</v>
      </c>
      <c r="AN16" s="46">
        <f t="shared" si="21"/>
        <v>41812.208333333336</v>
      </c>
      <c r="AO16" s="70">
        <f t="shared" si="22"/>
        <v>41812.916666666664</v>
      </c>
      <c r="AP16" s="47">
        <f t="shared" si="23"/>
        <v>41813.208333333336</v>
      </c>
      <c r="AQ16" s="48">
        <f t="shared" si="34"/>
        <v>41812</v>
      </c>
      <c r="AR16" s="49">
        <f t="shared" si="11"/>
        <v>41813</v>
      </c>
      <c r="AS16" s="49">
        <f t="shared" si="35"/>
        <v>1</v>
      </c>
      <c r="AT16" s="50">
        <f t="shared" si="12"/>
        <v>1</v>
      </c>
      <c r="AU16" s="48">
        <f t="shared" si="13"/>
        <v>0.20833333333575865</v>
      </c>
      <c r="AV16" s="49">
        <f t="shared" si="14"/>
        <v>8.3333333335758653E-2</v>
      </c>
      <c r="AW16" s="50">
        <f t="shared" si="15"/>
        <v>0.29166666667151731</v>
      </c>
      <c r="AX16" s="48">
        <f t="shared" si="16"/>
        <v>41812.208333333336</v>
      </c>
      <c r="AY16" s="49">
        <f t="shared" si="24"/>
        <v>41813</v>
      </c>
      <c r="AZ16" s="50">
        <f t="shared" si="17"/>
        <v>0.79166666666424135</v>
      </c>
      <c r="BA16" s="12" t="b">
        <f t="shared" si="25"/>
        <v>1</v>
      </c>
      <c r="BB16" s="8" t="b">
        <f t="shared" si="26"/>
        <v>0</v>
      </c>
      <c r="BC16" s="51" t="b">
        <f t="shared" si="27"/>
        <v>0</v>
      </c>
      <c r="BD16" s="12">
        <f t="shared" si="28"/>
        <v>0</v>
      </c>
      <c r="BE16" s="8">
        <f t="shared" si="29"/>
        <v>0</v>
      </c>
      <c r="BF16" s="12">
        <f t="shared" si="30"/>
        <v>0</v>
      </c>
      <c r="BG16" s="51">
        <f t="shared" si="31"/>
        <v>0</v>
      </c>
      <c r="BH16" s="13">
        <f t="shared" si="32"/>
        <v>0</v>
      </c>
    </row>
    <row r="17" spans="2:60" ht="33" customHeight="1" x14ac:dyDescent="0.15">
      <c r="B17" s="130">
        <f t="shared" si="33"/>
        <v>41813</v>
      </c>
      <c r="C17" s="131"/>
      <c r="D17" s="39" t="str">
        <f t="shared" si="18"/>
        <v>月</v>
      </c>
      <c r="E17" s="132"/>
      <c r="F17" s="133"/>
      <c r="G17" s="134"/>
      <c r="H17" s="135"/>
      <c r="I17" s="40"/>
      <c r="J17" s="41"/>
      <c r="K17" s="40"/>
      <c r="L17" s="41"/>
      <c r="M17" s="42" t="str">
        <f t="shared" si="1"/>
        <v/>
      </c>
      <c r="N17" s="43" t="str">
        <f t="shared" si="2"/>
        <v/>
      </c>
      <c r="O17" s="40"/>
      <c r="P17" s="41"/>
      <c r="Q17" s="42" t="str">
        <f t="shared" si="3"/>
        <v/>
      </c>
      <c r="R17" s="43" t="str">
        <f t="shared" si="4"/>
        <v/>
      </c>
      <c r="S17" s="42"/>
      <c r="T17" s="43" t="str">
        <f t="shared" si="19"/>
        <v/>
      </c>
      <c r="U17" s="42" t="str">
        <f t="shared" si="5"/>
        <v/>
      </c>
      <c r="V17" s="43" t="str">
        <f t="shared" si="6"/>
        <v/>
      </c>
      <c r="W17" s="42" t="str">
        <f t="shared" si="7"/>
        <v/>
      </c>
      <c r="X17" s="43" t="str">
        <f t="shared" si="8"/>
        <v/>
      </c>
      <c r="Y17" s="42" t="str">
        <f t="shared" si="9"/>
        <v/>
      </c>
      <c r="Z17" s="43" t="str">
        <f t="shared" si="10"/>
        <v/>
      </c>
      <c r="AA17" s="136"/>
      <c r="AB17" s="136"/>
      <c r="AC17" s="136"/>
      <c r="AD17" s="136"/>
      <c r="AE17" s="137"/>
      <c r="AF17" s="29"/>
      <c r="AG17" s="29"/>
      <c r="AH17" s="29"/>
      <c r="AI17" s="29"/>
      <c r="AJ17" s="29"/>
      <c r="AK17" s="29"/>
      <c r="AL17" s="44"/>
      <c r="AM17" s="45" t="b">
        <f t="shared" si="20"/>
        <v>0</v>
      </c>
      <c r="AN17" s="46">
        <f t="shared" si="21"/>
        <v>41813.208333333336</v>
      </c>
      <c r="AO17" s="70">
        <f t="shared" si="22"/>
        <v>41813.916666666664</v>
      </c>
      <c r="AP17" s="47">
        <f t="shared" si="23"/>
        <v>41814.208333333336</v>
      </c>
      <c r="AQ17" s="48">
        <f t="shared" si="34"/>
        <v>41813</v>
      </c>
      <c r="AR17" s="49">
        <f t="shared" si="11"/>
        <v>41814</v>
      </c>
      <c r="AS17" s="49">
        <f t="shared" si="35"/>
        <v>1</v>
      </c>
      <c r="AT17" s="50">
        <f t="shared" si="12"/>
        <v>1</v>
      </c>
      <c r="AU17" s="48">
        <f t="shared" si="13"/>
        <v>0.20833333333575865</v>
      </c>
      <c r="AV17" s="49">
        <f t="shared" si="14"/>
        <v>8.3333333335758653E-2</v>
      </c>
      <c r="AW17" s="50">
        <f t="shared" si="15"/>
        <v>0.29166666667151731</v>
      </c>
      <c r="AX17" s="48">
        <f t="shared" si="16"/>
        <v>41813.208333333336</v>
      </c>
      <c r="AY17" s="49">
        <f t="shared" si="24"/>
        <v>41814</v>
      </c>
      <c r="AZ17" s="50">
        <f t="shared" si="17"/>
        <v>0.79166666666424135</v>
      </c>
      <c r="BA17" s="12" t="b">
        <f t="shared" si="25"/>
        <v>1</v>
      </c>
      <c r="BB17" s="8" t="b">
        <f t="shared" si="26"/>
        <v>0</v>
      </c>
      <c r="BC17" s="51" t="b">
        <f t="shared" si="27"/>
        <v>0</v>
      </c>
      <c r="BD17" s="12">
        <f t="shared" si="28"/>
        <v>0</v>
      </c>
      <c r="BE17" s="8">
        <f t="shared" si="29"/>
        <v>0</v>
      </c>
      <c r="BF17" s="12">
        <f t="shared" si="30"/>
        <v>0</v>
      </c>
      <c r="BG17" s="51">
        <f t="shared" si="31"/>
        <v>0</v>
      </c>
      <c r="BH17" s="13">
        <f t="shared" si="32"/>
        <v>0</v>
      </c>
    </row>
    <row r="18" spans="2:60" ht="33" customHeight="1" x14ac:dyDescent="0.15">
      <c r="B18" s="130">
        <f t="shared" si="33"/>
        <v>41814</v>
      </c>
      <c r="C18" s="131"/>
      <c r="D18" s="39" t="str">
        <f t="shared" si="18"/>
        <v>火</v>
      </c>
      <c r="E18" s="132"/>
      <c r="F18" s="133"/>
      <c r="G18" s="134"/>
      <c r="H18" s="135"/>
      <c r="I18" s="40"/>
      <c r="J18" s="41"/>
      <c r="K18" s="40"/>
      <c r="L18" s="41"/>
      <c r="M18" s="42" t="str">
        <f t="shared" si="1"/>
        <v/>
      </c>
      <c r="N18" s="43" t="str">
        <f t="shared" si="2"/>
        <v/>
      </c>
      <c r="O18" s="40"/>
      <c r="P18" s="41"/>
      <c r="Q18" s="42" t="str">
        <f t="shared" si="3"/>
        <v/>
      </c>
      <c r="R18" s="43" t="str">
        <f t="shared" si="4"/>
        <v/>
      </c>
      <c r="S18" s="42"/>
      <c r="T18" s="43" t="str">
        <f t="shared" si="19"/>
        <v/>
      </c>
      <c r="U18" s="42" t="str">
        <f t="shared" si="5"/>
        <v/>
      </c>
      <c r="V18" s="43" t="str">
        <f t="shared" si="6"/>
        <v/>
      </c>
      <c r="W18" s="42" t="str">
        <f t="shared" si="7"/>
        <v/>
      </c>
      <c r="X18" s="43" t="str">
        <f t="shared" si="8"/>
        <v/>
      </c>
      <c r="Y18" s="42" t="str">
        <f t="shared" si="9"/>
        <v/>
      </c>
      <c r="Z18" s="43" t="str">
        <f t="shared" si="10"/>
        <v/>
      </c>
      <c r="AA18" s="136"/>
      <c r="AB18" s="136"/>
      <c r="AC18" s="136"/>
      <c r="AD18" s="136"/>
      <c r="AE18" s="137"/>
      <c r="AF18" s="29"/>
      <c r="AG18" s="29"/>
      <c r="AH18" s="29"/>
      <c r="AI18" s="29"/>
      <c r="AJ18" s="29"/>
      <c r="AK18" s="29"/>
      <c r="AL18" s="44"/>
      <c r="AM18" s="45" t="b">
        <f t="shared" si="20"/>
        <v>0</v>
      </c>
      <c r="AN18" s="46">
        <f t="shared" si="21"/>
        <v>41814.208333333336</v>
      </c>
      <c r="AO18" s="70">
        <f t="shared" si="22"/>
        <v>41814.916666666664</v>
      </c>
      <c r="AP18" s="47">
        <f t="shared" si="23"/>
        <v>41815.208333333336</v>
      </c>
      <c r="AQ18" s="48">
        <f t="shared" si="34"/>
        <v>41814</v>
      </c>
      <c r="AR18" s="49">
        <f t="shared" si="11"/>
        <v>41815</v>
      </c>
      <c r="AS18" s="49">
        <f t="shared" si="35"/>
        <v>1</v>
      </c>
      <c r="AT18" s="50">
        <f t="shared" si="12"/>
        <v>1</v>
      </c>
      <c r="AU18" s="48">
        <f t="shared" si="13"/>
        <v>0.20833333333575865</v>
      </c>
      <c r="AV18" s="49">
        <f t="shared" si="14"/>
        <v>8.3333333335758653E-2</v>
      </c>
      <c r="AW18" s="50">
        <f t="shared" si="15"/>
        <v>0.29166666667151731</v>
      </c>
      <c r="AX18" s="48">
        <f t="shared" si="16"/>
        <v>41814.208333333336</v>
      </c>
      <c r="AY18" s="49">
        <f t="shared" si="24"/>
        <v>41815</v>
      </c>
      <c r="AZ18" s="50">
        <f t="shared" si="17"/>
        <v>0.79166666666424135</v>
      </c>
      <c r="BA18" s="12" t="b">
        <f t="shared" si="25"/>
        <v>1</v>
      </c>
      <c r="BB18" s="8" t="b">
        <f t="shared" si="26"/>
        <v>0</v>
      </c>
      <c r="BC18" s="51" t="b">
        <f t="shared" si="27"/>
        <v>0</v>
      </c>
      <c r="BD18" s="12">
        <f t="shared" si="28"/>
        <v>0</v>
      </c>
      <c r="BE18" s="8">
        <f t="shared" si="29"/>
        <v>0</v>
      </c>
      <c r="BF18" s="12">
        <f t="shared" si="30"/>
        <v>0</v>
      </c>
      <c r="BG18" s="51">
        <f t="shared" si="31"/>
        <v>0</v>
      </c>
      <c r="BH18" s="13">
        <f t="shared" si="32"/>
        <v>0</v>
      </c>
    </row>
    <row r="19" spans="2:60" ht="33" customHeight="1" x14ac:dyDescent="0.15">
      <c r="B19" s="130">
        <f t="shared" si="33"/>
        <v>41815</v>
      </c>
      <c r="C19" s="131"/>
      <c r="D19" s="39" t="str">
        <f t="shared" si="18"/>
        <v>水</v>
      </c>
      <c r="E19" s="132"/>
      <c r="F19" s="133"/>
      <c r="G19" s="134"/>
      <c r="H19" s="135"/>
      <c r="I19" s="40"/>
      <c r="J19" s="41"/>
      <c r="K19" s="40"/>
      <c r="L19" s="41"/>
      <c r="M19" s="42" t="str">
        <f t="shared" si="1"/>
        <v/>
      </c>
      <c r="N19" s="43" t="str">
        <f t="shared" si="2"/>
        <v/>
      </c>
      <c r="O19" s="40"/>
      <c r="P19" s="41"/>
      <c r="Q19" s="42" t="str">
        <f t="shared" si="3"/>
        <v/>
      </c>
      <c r="R19" s="43" t="str">
        <f t="shared" si="4"/>
        <v/>
      </c>
      <c r="S19" s="42"/>
      <c r="T19" s="43" t="str">
        <f t="shared" si="19"/>
        <v/>
      </c>
      <c r="U19" s="42" t="str">
        <f t="shared" si="5"/>
        <v/>
      </c>
      <c r="V19" s="43" t="str">
        <f t="shared" si="6"/>
        <v/>
      </c>
      <c r="W19" s="42" t="str">
        <f t="shared" si="7"/>
        <v/>
      </c>
      <c r="X19" s="43" t="str">
        <f t="shared" si="8"/>
        <v/>
      </c>
      <c r="Y19" s="42" t="str">
        <f t="shared" si="9"/>
        <v/>
      </c>
      <c r="Z19" s="43" t="str">
        <f t="shared" si="10"/>
        <v/>
      </c>
      <c r="AA19" s="136"/>
      <c r="AB19" s="136"/>
      <c r="AC19" s="136"/>
      <c r="AD19" s="136"/>
      <c r="AE19" s="137"/>
      <c r="AF19" s="29"/>
      <c r="AG19" s="29"/>
      <c r="AH19" s="29"/>
      <c r="AI19" s="29"/>
      <c r="AJ19" s="29"/>
      <c r="AK19" s="29"/>
      <c r="AL19" s="44"/>
      <c r="AM19" s="45" t="b">
        <f t="shared" si="20"/>
        <v>0</v>
      </c>
      <c r="AN19" s="46">
        <f t="shared" si="21"/>
        <v>41815.208333333336</v>
      </c>
      <c r="AO19" s="70">
        <f t="shared" si="22"/>
        <v>41815.916666666664</v>
      </c>
      <c r="AP19" s="47">
        <f t="shared" si="23"/>
        <v>41816.208333333336</v>
      </c>
      <c r="AQ19" s="48">
        <f t="shared" si="34"/>
        <v>41815</v>
      </c>
      <c r="AR19" s="49">
        <f t="shared" si="11"/>
        <v>41816</v>
      </c>
      <c r="AS19" s="49">
        <f t="shared" si="35"/>
        <v>1</v>
      </c>
      <c r="AT19" s="50">
        <f t="shared" si="12"/>
        <v>1</v>
      </c>
      <c r="AU19" s="48">
        <f t="shared" si="13"/>
        <v>0.20833333333575865</v>
      </c>
      <c r="AV19" s="49">
        <f t="shared" si="14"/>
        <v>8.3333333335758653E-2</v>
      </c>
      <c r="AW19" s="50">
        <f t="shared" si="15"/>
        <v>0.29166666667151731</v>
      </c>
      <c r="AX19" s="48">
        <f t="shared" si="16"/>
        <v>41815.208333333336</v>
      </c>
      <c r="AY19" s="49">
        <f t="shared" si="24"/>
        <v>41816</v>
      </c>
      <c r="AZ19" s="50">
        <f t="shared" si="17"/>
        <v>0.79166666666424135</v>
      </c>
      <c r="BA19" s="12" t="b">
        <f t="shared" si="25"/>
        <v>1</v>
      </c>
      <c r="BB19" s="8" t="b">
        <f t="shared" si="26"/>
        <v>0</v>
      </c>
      <c r="BC19" s="51" t="b">
        <f t="shared" si="27"/>
        <v>0</v>
      </c>
      <c r="BD19" s="12">
        <f t="shared" si="28"/>
        <v>0</v>
      </c>
      <c r="BE19" s="8">
        <f t="shared" si="29"/>
        <v>0</v>
      </c>
      <c r="BF19" s="12">
        <f t="shared" si="30"/>
        <v>0</v>
      </c>
      <c r="BG19" s="51">
        <f t="shared" si="31"/>
        <v>0</v>
      </c>
      <c r="BH19" s="13">
        <f t="shared" si="32"/>
        <v>0</v>
      </c>
    </row>
    <row r="20" spans="2:60" ht="33" customHeight="1" x14ac:dyDescent="0.15">
      <c r="B20" s="130">
        <f t="shared" si="33"/>
        <v>41816</v>
      </c>
      <c r="C20" s="131"/>
      <c r="D20" s="39" t="str">
        <f t="shared" si="18"/>
        <v>木</v>
      </c>
      <c r="E20" s="132"/>
      <c r="F20" s="133"/>
      <c r="G20" s="134"/>
      <c r="H20" s="135"/>
      <c r="I20" s="40"/>
      <c r="J20" s="41"/>
      <c r="K20" s="40"/>
      <c r="L20" s="41"/>
      <c r="M20" s="42" t="str">
        <f t="shared" si="1"/>
        <v/>
      </c>
      <c r="N20" s="43" t="str">
        <f t="shared" si="2"/>
        <v/>
      </c>
      <c r="O20" s="40"/>
      <c r="P20" s="41"/>
      <c r="Q20" s="42" t="str">
        <f t="shared" si="3"/>
        <v/>
      </c>
      <c r="R20" s="43" t="str">
        <f t="shared" si="4"/>
        <v/>
      </c>
      <c r="S20" s="42"/>
      <c r="T20" s="43" t="str">
        <f t="shared" si="19"/>
        <v/>
      </c>
      <c r="U20" s="42" t="str">
        <f t="shared" si="5"/>
        <v/>
      </c>
      <c r="V20" s="43" t="str">
        <f t="shared" si="6"/>
        <v/>
      </c>
      <c r="W20" s="42" t="str">
        <f t="shared" si="7"/>
        <v/>
      </c>
      <c r="X20" s="43" t="str">
        <f t="shared" si="8"/>
        <v/>
      </c>
      <c r="Y20" s="42" t="str">
        <f t="shared" si="9"/>
        <v/>
      </c>
      <c r="Z20" s="43" t="str">
        <f t="shared" si="10"/>
        <v/>
      </c>
      <c r="AA20" s="136"/>
      <c r="AB20" s="136"/>
      <c r="AC20" s="136"/>
      <c r="AD20" s="136"/>
      <c r="AE20" s="137"/>
      <c r="AF20" s="29"/>
      <c r="AG20" s="29"/>
      <c r="AH20" s="29"/>
      <c r="AI20" s="29"/>
      <c r="AJ20" s="29"/>
      <c r="AK20" s="29"/>
      <c r="AL20" s="44"/>
      <c r="AM20" s="45" t="b">
        <f t="shared" si="20"/>
        <v>0</v>
      </c>
      <c r="AN20" s="46">
        <f t="shared" si="21"/>
        <v>41816.208333333336</v>
      </c>
      <c r="AO20" s="70">
        <f t="shared" si="22"/>
        <v>41816.916666666664</v>
      </c>
      <c r="AP20" s="47">
        <f t="shared" si="23"/>
        <v>41817.208333333336</v>
      </c>
      <c r="AQ20" s="48">
        <f t="shared" si="34"/>
        <v>41816</v>
      </c>
      <c r="AR20" s="49">
        <f t="shared" si="11"/>
        <v>41817</v>
      </c>
      <c r="AS20" s="49">
        <f t="shared" si="35"/>
        <v>1</v>
      </c>
      <c r="AT20" s="50">
        <f t="shared" si="12"/>
        <v>1</v>
      </c>
      <c r="AU20" s="48">
        <f t="shared" si="13"/>
        <v>0.20833333333575865</v>
      </c>
      <c r="AV20" s="49">
        <f t="shared" si="14"/>
        <v>8.3333333335758653E-2</v>
      </c>
      <c r="AW20" s="50">
        <f t="shared" si="15"/>
        <v>0.29166666667151731</v>
      </c>
      <c r="AX20" s="48">
        <f t="shared" si="16"/>
        <v>41816.208333333336</v>
      </c>
      <c r="AY20" s="49">
        <f t="shared" si="24"/>
        <v>41817</v>
      </c>
      <c r="AZ20" s="50">
        <f t="shared" si="17"/>
        <v>0.79166666666424135</v>
      </c>
      <c r="BA20" s="12" t="b">
        <f t="shared" si="25"/>
        <v>1</v>
      </c>
      <c r="BB20" s="8" t="b">
        <f t="shared" si="26"/>
        <v>0</v>
      </c>
      <c r="BC20" s="51" t="b">
        <f t="shared" si="27"/>
        <v>0</v>
      </c>
      <c r="BD20" s="12">
        <f t="shared" si="28"/>
        <v>0</v>
      </c>
      <c r="BE20" s="8">
        <f t="shared" si="29"/>
        <v>0</v>
      </c>
      <c r="BF20" s="12">
        <f t="shared" si="30"/>
        <v>0</v>
      </c>
      <c r="BG20" s="51">
        <f t="shared" si="31"/>
        <v>0</v>
      </c>
      <c r="BH20" s="13">
        <f t="shared" si="32"/>
        <v>0</v>
      </c>
    </row>
    <row r="21" spans="2:60" ht="33" customHeight="1" x14ac:dyDescent="0.15">
      <c r="B21" s="130">
        <f t="shared" si="33"/>
        <v>41817</v>
      </c>
      <c r="C21" s="131"/>
      <c r="D21" s="39" t="str">
        <f t="shared" si="18"/>
        <v>金</v>
      </c>
      <c r="E21" s="132"/>
      <c r="F21" s="133"/>
      <c r="G21" s="134"/>
      <c r="H21" s="135"/>
      <c r="I21" s="40"/>
      <c r="J21" s="41"/>
      <c r="K21" s="40"/>
      <c r="L21" s="41"/>
      <c r="M21" s="42" t="str">
        <f t="shared" si="1"/>
        <v/>
      </c>
      <c r="N21" s="43" t="str">
        <f t="shared" si="2"/>
        <v/>
      </c>
      <c r="O21" s="40"/>
      <c r="P21" s="41"/>
      <c r="Q21" s="42" t="str">
        <f t="shared" si="3"/>
        <v/>
      </c>
      <c r="R21" s="43" t="str">
        <f t="shared" si="4"/>
        <v/>
      </c>
      <c r="S21" s="42"/>
      <c r="T21" s="43" t="str">
        <f t="shared" si="19"/>
        <v/>
      </c>
      <c r="U21" s="42" t="str">
        <f t="shared" si="5"/>
        <v/>
      </c>
      <c r="V21" s="43" t="str">
        <f t="shared" si="6"/>
        <v/>
      </c>
      <c r="W21" s="42" t="str">
        <f t="shared" si="7"/>
        <v/>
      </c>
      <c r="X21" s="43" t="str">
        <f t="shared" si="8"/>
        <v/>
      </c>
      <c r="Y21" s="42" t="str">
        <f t="shared" si="9"/>
        <v/>
      </c>
      <c r="Z21" s="43" t="str">
        <f t="shared" si="10"/>
        <v/>
      </c>
      <c r="AA21" s="136"/>
      <c r="AB21" s="136"/>
      <c r="AC21" s="136"/>
      <c r="AD21" s="136"/>
      <c r="AE21" s="137"/>
      <c r="AF21" s="29"/>
      <c r="AG21" s="29"/>
      <c r="AH21" s="29"/>
      <c r="AI21" s="29"/>
      <c r="AJ21" s="29"/>
      <c r="AK21" s="29"/>
      <c r="AL21" s="44"/>
      <c r="AM21" s="45" t="b">
        <f t="shared" si="20"/>
        <v>0</v>
      </c>
      <c r="AN21" s="46">
        <f t="shared" si="21"/>
        <v>41817.208333333336</v>
      </c>
      <c r="AO21" s="70">
        <f t="shared" si="22"/>
        <v>41817.916666666664</v>
      </c>
      <c r="AP21" s="47">
        <f t="shared" si="23"/>
        <v>41818.208333333336</v>
      </c>
      <c r="AQ21" s="48">
        <f t="shared" si="34"/>
        <v>41817</v>
      </c>
      <c r="AR21" s="49">
        <f t="shared" si="11"/>
        <v>41818</v>
      </c>
      <c r="AS21" s="49">
        <f t="shared" si="35"/>
        <v>1</v>
      </c>
      <c r="AT21" s="50">
        <f t="shared" si="12"/>
        <v>1</v>
      </c>
      <c r="AU21" s="48">
        <f t="shared" si="13"/>
        <v>0.20833333333575865</v>
      </c>
      <c r="AV21" s="49">
        <f t="shared" si="14"/>
        <v>8.3333333335758653E-2</v>
      </c>
      <c r="AW21" s="50">
        <f t="shared" si="15"/>
        <v>0.29166666667151731</v>
      </c>
      <c r="AX21" s="48">
        <f t="shared" si="16"/>
        <v>41817.208333333336</v>
      </c>
      <c r="AY21" s="49">
        <f t="shared" si="24"/>
        <v>41818</v>
      </c>
      <c r="AZ21" s="50">
        <f t="shared" si="17"/>
        <v>0.79166666666424135</v>
      </c>
      <c r="BA21" s="12" t="b">
        <f t="shared" si="25"/>
        <v>1</v>
      </c>
      <c r="BB21" s="8" t="b">
        <f t="shared" si="26"/>
        <v>0</v>
      </c>
      <c r="BC21" s="51" t="b">
        <f t="shared" si="27"/>
        <v>0</v>
      </c>
      <c r="BD21" s="12">
        <f t="shared" si="28"/>
        <v>0</v>
      </c>
      <c r="BE21" s="8">
        <f t="shared" si="29"/>
        <v>0</v>
      </c>
      <c r="BF21" s="12">
        <f t="shared" si="30"/>
        <v>0</v>
      </c>
      <c r="BG21" s="51">
        <f t="shared" si="31"/>
        <v>0</v>
      </c>
      <c r="BH21" s="13">
        <f t="shared" si="32"/>
        <v>0</v>
      </c>
    </row>
    <row r="22" spans="2:60" ht="33" customHeight="1" x14ac:dyDescent="0.15">
      <c r="B22" s="130">
        <f t="shared" si="33"/>
        <v>41818</v>
      </c>
      <c r="C22" s="131"/>
      <c r="D22" s="39" t="str">
        <f t="shared" si="18"/>
        <v>土</v>
      </c>
      <c r="E22" s="132"/>
      <c r="F22" s="133"/>
      <c r="G22" s="134"/>
      <c r="H22" s="135"/>
      <c r="I22" s="40"/>
      <c r="J22" s="41"/>
      <c r="K22" s="40"/>
      <c r="L22" s="41"/>
      <c r="M22" s="42" t="str">
        <f t="shared" si="1"/>
        <v/>
      </c>
      <c r="N22" s="43" t="str">
        <f t="shared" si="2"/>
        <v/>
      </c>
      <c r="O22" s="40"/>
      <c r="P22" s="41"/>
      <c r="Q22" s="42" t="str">
        <f t="shared" si="3"/>
        <v/>
      </c>
      <c r="R22" s="43" t="str">
        <f t="shared" si="4"/>
        <v/>
      </c>
      <c r="S22" s="42"/>
      <c r="T22" s="43" t="str">
        <f t="shared" si="19"/>
        <v/>
      </c>
      <c r="U22" s="42" t="str">
        <f t="shared" si="5"/>
        <v/>
      </c>
      <c r="V22" s="43" t="str">
        <f t="shared" si="6"/>
        <v/>
      </c>
      <c r="W22" s="42" t="str">
        <f t="shared" si="7"/>
        <v/>
      </c>
      <c r="X22" s="43" t="str">
        <f t="shared" si="8"/>
        <v/>
      </c>
      <c r="Y22" s="42" t="str">
        <f t="shared" si="9"/>
        <v/>
      </c>
      <c r="Z22" s="43" t="str">
        <f t="shared" si="10"/>
        <v/>
      </c>
      <c r="AA22" s="136"/>
      <c r="AB22" s="136"/>
      <c r="AC22" s="136"/>
      <c r="AD22" s="136"/>
      <c r="AE22" s="137"/>
      <c r="AF22" s="29"/>
      <c r="AG22" s="29"/>
      <c r="AH22" s="29"/>
      <c r="AI22" s="29"/>
      <c r="AJ22" s="29"/>
      <c r="AK22" s="29"/>
      <c r="AL22" s="44"/>
      <c r="AM22" s="45" t="b">
        <f t="shared" si="20"/>
        <v>0</v>
      </c>
      <c r="AN22" s="46">
        <f t="shared" si="21"/>
        <v>41818.208333333336</v>
      </c>
      <c r="AO22" s="70">
        <f t="shared" si="22"/>
        <v>41818.916666666664</v>
      </c>
      <c r="AP22" s="47">
        <f t="shared" si="23"/>
        <v>41819.208333333336</v>
      </c>
      <c r="AQ22" s="48">
        <f t="shared" si="34"/>
        <v>41818</v>
      </c>
      <c r="AR22" s="49">
        <f t="shared" si="11"/>
        <v>41819</v>
      </c>
      <c r="AS22" s="49">
        <f t="shared" si="35"/>
        <v>1</v>
      </c>
      <c r="AT22" s="50">
        <f t="shared" si="12"/>
        <v>1</v>
      </c>
      <c r="AU22" s="48">
        <f t="shared" si="13"/>
        <v>0.20833333333575865</v>
      </c>
      <c r="AV22" s="49">
        <f t="shared" si="14"/>
        <v>8.3333333335758653E-2</v>
      </c>
      <c r="AW22" s="50">
        <f t="shared" si="15"/>
        <v>0.29166666667151731</v>
      </c>
      <c r="AX22" s="48">
        <f t="shared" si="16"/>
        <v>41818.208333333336</v>
      </c>
      <c r="AY22" s="49">
        <f t="shared" si="24"/>
        <v>41819</v>
      </c>
      <c r="AZ22" s="50">
        <f t="shared" si="17"/>
        <v>0.79166666666424135</v>
      </c>
      <c r="BA22" s="12" t="b">
        <f t="shared" si="25"/>
        <v>1</v>
      </c>
      <c r="BB22" s="8" t="b">
        <f t="shared" si="26"/>
        <v>0</v>
      </c>
      <c r="BC22" s="51" t="b">
        <f t="shared" si="27"/>
        <v>0</v>
      </c>
      <c r="BD22" s="12">
        <f t="shared" si="28"/>
        <v>0</v>
      </c>
      <c r="BE22" s="8">
        <f t="shared" si="29"/>
        <v>0</v>
      </c>
      <c r="BF22" s="12">
        <f t="shared" si="30"/>
        <v>0</v>
      </c>
      <c r="BG22" s="51">
        <f t="shared" si="31"/>
        <v>0</v>
      </c>
      <c r="BH22" s="13">
        <f t="shared" si="32"/>
        <v>0</v>
      </c>
    </row>
    <row r="23" spans="2:60" ht="33" customHeight="1" x14ac:dyDescent="0.15">
      <c r="B23" s="130">
        <f t="shared" si="33"/>
        <v>41819</v>
      </c>
      <c r="C23" s="131"/>
      <c r="D23" s="39" t="str">
        <f t="shared" si="18"/>
        <v>日</v>
      </c>
      <c r="E23" s="132"/>
      <c r="F23" s="133"/>
      <c r="G23" s="134"/>
      <c r="H23" s="135"/>
      <c r="I23" s="40"/>
      <c r="J23" s="41"/>
      <c r="K23" s="40"/>
      <c r="L23" s="41"/>
      <c r="M23" s="42" t="str">
        <f t="shared" si="1"/>
        <v/>
      </c>
      <c r="N23" s="43" t="str">
        <f t="shared" si="2"/>
        <v/>
      </c>
      <c r="O23" s="40"/>
      <c r="P23" s="41"/>
      <c r="Q23" s="42" t="str">
        <f t="shared" si="3"/>
        <v/>
      </c>
      <c r="R23" s="43" t="str">
        <f t="shared" si="4"/>
        <v/>
      </c>
      <c r="S23" s="42"/>
      <c r="T23" s="43" t="str">
        <f t="shared" si="19"/>
        <v/>
      </c>
      <c r="U23" s="42" t="str">
        <f t="shared" si="5"/>
        <v/>
      </c>
      <c r="V23" s="43" t="str">
        <f t="shared" si="6"/>
        <v/>
      </c>
      <c r="W23" s="42" t="str">
        <f t="shared" si="7"/>
        <v/>
      </c>
      <c r="X23" s="43" t="str">
        <f t="shared" si="8"/>
        <v/>
      </c>
      <c r="Y23" s="42" t="str">
        <f t="shared" si="9"/>
        <v/>
      </c>
      <c r="Z23" s="43" t="str">
        <f t="shared" si="10"/>
        <v/>
      </c>
      <c r="AA23" s="136"/>
      <c r="AB23" s="136"/>
      <c r="AC23" s="136"/>
      <c r="AD23" s="136"/>
      <c r="AE23" s="137"/>
      <c r="AF23" s="29"/>
      <c r="AG23" s="29"/>
      <c r="AH23" s="29"/>
      <c r="AI23" s="29"/>
      <c r="AJ23" s="29"/>
      <c r="AK23" s="29"/>
      <c r="AL23" s="44"/>
      <c r="AM23" s="45" t="b">
        <f t="shared" si="20"/>
        <v>0</v>
      </c>
      <c r="AN23" s="46">
        <f t="shared" si="21"/>
        <v>41819.208333333336</v>
      </c>
      <c r="AO23" s="70">
        <f t="shared" si="22"/>
        <v>41819.916666666664</v>
      </c>
      <c r="AP23" s="47">
        <f t="shared" si="23"/>
        <v>41820.208333333336</v>
      </c>
      <c r="AQ23" s="48">
        <f t="shared" si="34"/>
        <v>41819</v>
      </c>
      <c r="AR23" s="49">
        <f t="shared" si="11"/>
        <v>41820</v>
      </c>
      <c r="AS23" s="49">
        <f t="shared" si="35"/>
        <v>1</v>
      </c>
      <c r="AT23" s="50">
        <f t="shared" si="12"/>
        <v>1</v>
      </c>
      <c r="AU23" s="48">
        <f t="shared" si="13"/>
        <v>0.20833333333575865</v>
      </c>
      <c r="AV23" s="49">
        <f t="shared" si="14"/>
        <v>8.3333333335758653E-2</v>
      </c>
      <c r="AW23" s="50">
        <f t="shared" si="15"/>
        <v>0.29166666667151731</v>
      </c>
      <c r="AX23" s="48">
        <f t="shared" si="16"/>
        <v>41819.208333333336</v>
      </c>
      <c r="AY23" s="49">
        <f t="shared" si="24"/>
        <v>41820</v>
      </c>
      <c r="AZ23" s="50">
        <f t="shared" si="17"/>
        <v>0.79166666666424135</v>
      </c>
      <c r="BA23" s="12" t="b">
        <f t="shared" si="25"/>
        <v>1</v>
      </c>
      <c r="BB23" s="8" t="b">
        <f t="shared" si="26"/>
        <v>0</v>
      </c>
      <c r="BC23" s="51" t="b">
        <f t="shared" si="27"/>
        <v>0</v>
      </c>
      <c r="BD23" s="12">
        <f t="shared" si="28"/>
        <v>0</v>
      </c>
      <c r="BE23" s="8">
        <f t="shared" si="29"/>
        <v>0</v>
      </c>
      <c r="BF23" s="12">
        <f t="shared" si="30"/>
        <v>0</v>
      </c>
      <c r="BG23" s="51">
        <f t="shared" si="31"/>
        <v>0</v>
      </c>
      <c r="BH23" s="13">
        <f t="shared" si="32"/>
        <v>0</v>
      </c>
    </row>
    <row r="24" spans="2:60" ht="33" customHeight="1" x14ac:dyDescent="0.15">
      <c r="B24" s="130">
        <f t="shared" si="33"/>
        <v>41820</v>
      </c>
      <c r="C24" s="131"/>
      <c r="D24" s="39" t="str">
        <f t="shared" si="18"/>
        <v>月</v>
      </c>
      <c r="E24" s="132"/>
      <c r="F24" s="133"/>
      <c r="G24" s="134"/>
      <c r="H24" s="135"/>
      <c r="I24" s="40"/>
      <c r="J24" s="41"/>
      <c r="K24" s="40"/>
      <c r="L24" s="41"/>
      <c r="M24" s="42" t="str">
        <f t="shared" si="1"/>
        <v/>
      </c>
      <c r="N24" s="43" t="str">
        <f t="shared" si="2"/>
        <v/>
      </c>
      <c r="O24" s="40"/>
      <c r="P24" s="41"/>
      <c r="Q24" s="42" t="str">
        <f t="shared" si="3"/>
        <v/>
      </c>
      <c r="R24" s="43" t="str">
        <f t="shared" si="4"/>
        <v/>
      </c>
      <c r="S24" s="42"/>
      <c r="T24" s="43" t="str">
        <f t="shared" si="19"/>
        <v/>
      </c>
      <c r="U24" s="42" t="str">
        <f t="shared" si="5"/>
        <v/>
      </c>
      <c r="V24" s="43" t="str">
        <f t="shared" si="6"/>
        <v/>
      </c>
      <c r="W24" s="42" t="str">
        <f t="shared" si="7"/>
        <v/>
      </c>
      <c r="X24" s="43" t="str">
        <f t="shared" si="8"/>
        <v/>
      </c>
      <c r="Y24" s="42" t="str">
        <f t="shared" si="9"/>
        <v/>
      </c>
      <c r="Z24" s="43" t="str">
        <f t="shared" si="10"/>
        <v/>
      </c>
      <c r="AA24" s="136"/>
      <c r="AB24" s="136"/>
      <c r="AC24" s="136"/>
      <c r="AD24" s="136"/>
      <c r="AE24" s="137"/>
      <c r="AF24" s="29"/>
      <c r="AG24" s="29"/>
      <c r="AH24" s="29"/>
      <c r="AI24" s="29"/>
      <c r="AJ24" s="29"/>
      <c r="AK24" s="29"/>
      <c r="AL24" s="44"/>
      <c r="AM24" s="45" t="b">
        <f t="shared" si="20"/>
        <v>0</v>
      </c>
      <c r="AN24" s="46">
        <f t="shared" si="21"/>
        <v>41820.208333333336</v>
      </c>
      <c r="AO24" s="70">
        <f t="shared" si="22"/>
        <v>41820.916666666664</v>
      </c>
      <c r="AP24" s="47">
        <f t="shared" si="23"/>
        <v>41821.208333333336</v>
      </c>
      <c r="AQ24" s="48">
        <f t="shared" si="34"/>
        <v>41820</v>
      </c>
      <c r="AR24" s="49">
        <f t="shared" si="11"/>
        <v>41821</v>
      </c>
      <c r="AS24" s="49">
        <f t="shared" si="35"/>
        <v>1</v>
      </c>
      <c r="AT24" s="50">
        <f t="shared" si="12"/>
        <v>1</v>
      </c>
      <c r="AU24" s="48">
        <f t="shared" si="13"/>
        <v>0.20833333333575865</v>
      </c>
      <c r="AV24" s="49">
        <f t="shared" si="14"/>
        <v>8.3333333335758653E-2</v>
      </c>
      <c r="AW24" s="50">
        <f t="shared" si="15"/>
        <v>0.29166666667151731</v>
      </c>
      <c r="AX24" s="48">
        <f t="shared" si="16"/>
        <v>41820.208333333336</v>
      </c>
      <c r="AY24" s="49">
        <f t="shared" si="24"/>
        <v>41821</v>
      </c>
      <c r="AZ24" s="50">
        <f t="shared" si="17"/>
        <v>0.79166666666424135</v>
      </c>
      <c r="BA24" s="12" t="b">
        <f t="shared" si="25"/>
        <v>1</v>
      </c>
      <c r="BB24" s="8" t="b">
        <f t="shared" si="26"/>
        <v>0</v>
      </c>
      <c r="BC24" s="51" t="b">
        <f t="shared" si="27"/>
        <v>0</v>
      </c>
      <c r="BD24" s="12">
        <f t="shared" si="28"/>
        <v>0</v>
      </c>
      <c r="BE24" s="8">
        <f t="shared" si="29"/>
        <v>0</v>
      </c>
      <c r="BF24" s="12">
        <f t="shared" si="30"/>
        <v>0</v>
      </c>
      <c r="BG24" s="51">
        <f t="shared" si="31"/>
        <v>0</v>
      </c>
      <c r="BH24" s="13">
        <f t="shared" si="32"/>
        <v>0</v>
      </c>
    </row>
    <row r="25" spans="2:60" ht="33" customHeight="1" x14ac:dyDescent="0.15">
      <c r="B25" s="130">
        <f t="shared" si="33"/>
        <v>41821</v>
      </c>
      <c r="C25" s="131"/>
      <c r="D25" s="39" t="str">
        <f t="shared" si="18"/>
        <v>火</v>
      </c>
      <c r="E25" s="132"/>
      <c r="F25" s="133"/>
      <c r="G25" s="134"/>
      <c r="H25" s="135"/>
      <c r="I25" s="40"/>
      <c r="J25" s="41"/>
      <c r="K25" s="40"/>
      <c r="L25" s="41"/>
      <c r="M25" s="42" t="str">
        <f t="shared" si="1"/>
        <v/>
      </c>
      <c r="N25" s="43" t="str">
        <f t="shared" si="2"/>
        <v/>
      </c>
      <c r="O25" s="40"/>
      <c r="P25" s="41"/>
      <c r="Q25" s="42" t="str">
        <f t="shared" si="3"/>
        <v/>
      </c>
      <c r="R25" s="43" t="str">
        <f t="shared" si="4"/>
        <v/>
      </c>
      <c r="S25" s="42"/>
      <c r="T25" s="43" t="str">
        <f t="shared" si="19"/>
        <v/>
      </c>
      <c r="U25" s="42" t="str">
        <f t="shared" si="5"/>
        <v/>
      </c>
      <c r="V25" s="43" t="str">
        <f t="shared" si="6"/>
        <v/>
      </c>
      <c r="W25" s="42" t="str">
        <f t="shared" si="7"/>
        <v/>
      </c>
      <c r="X25" s="43" t="str">
        <f t="shared" si="8"/>
        <v/>
      </c>
      <c r="Y25" s="42" t="str">
        <f t="shared" si="9"/>
        <v/>
      </c>
      <c r="Z25" s="43" t="str">
        <f t="shared" si="10"/>
        <v/>
      </c>
      <c r="AA25" s="136"/>
      <c r="AB25" s="136"/>
      <c r="AC25" s="136"/>
      <c r="AD25" s="136"/>
      <c r="AE25" s="137"/>
      <c r="AF25" s="29"/>
      <c r="AG25" s="29"/>
      <c r="AH25" s="29"/>
      <c r="AI25" s="29"/>
      <c r="AJ25" s="29"/>
      <c r="AK25" s="29"/>
      <c r="AL25" s="44"/>
      <c r="AM25" s="45" t="b">
        <f t="shared" si="20"/>
        <v>0</v>
      </c>
      <c r="AN25" s="46">
        <f t="shared" si="21"/>
        <v>41821.208333333336</v>
      </c>
      <c r="AO25" s="70">
        <f t="shared" si="22"/>
        <v>41821.916666666664</v>
      </c>
      <c r="AP25" s="47">
        <f t="shared" si="23"/>
        <v>41822.208333333336</v>
      </c>
      <c r="AQ25" s="48">
        <f t="shared" si="34"/>
        <v>41821</v>
      </c>
      <c r="AR25" s="49">
        <f t="shared" si="11"/>
        <v>41822</v>
      </c>
      <c r="AS25" s="49">
        <f t="shared" si="35"/>
        <v>1</v>
      </c>
      <c r="AT25" s="50">
        <f t="shared" si="12"/>
        <v>1</v>
      </c>
      <c r="AU25" s="48">
        <f t="shared" si="13"/>
        <v>0.20833333333575865</v>
      </c>
      <c r="AV25" s="49">
        <f t="shared" si="14"/>
        <v>8.3333333335758653E-2</v>
      </c>
      <c r="AW25" s="50">
        <f t="shared" si="15"/>
        <v>0.29166666667151731</v>
      </c>
      <c r="AX25" s="48">
        <f t="shared" si="16"/>
        <v>41821.208333333336</v>
      </c>
      <c r="AY25" s="49">
        <f t="shared" si="24"/>
        <v>41822</v>
      </c>
      <c r="AZ25" s="50">
        <f t="shared" si="17"/>
        <v>0.79166666666424135</v>
      </c>
      <c r="BA25" s="12" t="b">
        <f t="shared" si="25"/>
        <v>1</v>
      </c>
      <c r="BB25" s="8" t="b">
        <f t="shared" si="26"/>
        <v>0</v>
      </c>
      <c r="BC25" s="51" t="b">
        <f t="shared" si="27"/>
        <v>0</v>
      </c>
      <c r="BD25" s="12">
        <f t="shared" si="28"/>
        <v>0</v>
      </c>
      <c r="BE25" s="8">
        <f t="shared" si="29"/>
        <v>0</v>
      </c>
      <c r="BF25" s="12">
        <f t="shared" si="30"/>
        <v>0</v>
      </c>
      <c r="BG25" s="51">
        <f t="shared" si="31"/>
        <v>0</v>
      </c>
      <c r="BH25" s="13">
        <f t="shared" si="32"/>
        <v>0</v>
      </c>
    </row>
    <row r="26" spans="2:60" ht="33" customHeight="1" x14ac:dyDescent="0.15">
      <c r="B26" s="130">
        <f t="shared" si="33"/>
        <v>41822</v>
      </c>
      <c r="C26" s="131"/>
      <c r="D26" s="39" t="str">
        <f t="shared" si="18"/>
        <v>水</v>
      </c>
      <c r="E26" s="132"/>
      <c r="F26" s="133"/>
      <c r="G26" s="134"/>
      <c r="H26" s="135"/>
      <c r="I26" s="40"/>
      <c r="J26" s="41"/>
      <c r="K26" s="40"/>
      <c r="L26" s="41"/>
      <c r="M26" s="42" t="str">
        <f t="shared" si="1"/>
        <v/>
      </c>
      <c r="N26" s="43" t="str">
        <f t="shared" si="2"/>
        <v/>
      </c>
      <c r="O26" s="40"/>
      <c r="P26" s="41"/>
      <c r="Q26" s="42" t="str">
        <f t="shared" si="3"/>
        <v/>
      </c>
      <c r="R26" s="43" t="str">
        <f t="shared" si="4"/>
        <v/>
      </c>
      <c r="S26" s="42"/>
      <c r="T26" s="43" t="str">
        <f t="shared" si="19"/>
        <v/>
      </c>
      <c r="U26" s="42" t="str">
        <f t="shared" si="5"/>
        <v/>
      </c>
      <c r="V26" s="43" t="str">
        <f t="shared" si="6"/>
        <v/>
      </c>
      <c r="W26" s="42" t="str">
        <f t="shared" si="7"/>
        <v/>
      </c>
      <c r="X26" s="43" t="str">
        <f t="shared" si="8"/>
        <v/>
      </c>
      <c r="Y26" s="42" t="str">
        <f t="shared" si="9"/>
        <v/>
      </c>
      <c r="Z26" s="43" t="str">
        <f t="shared" si="10"/>
        <v/>
      </c>
      <c r="AA26" s="136"/>
      <c r="AB26" s="136"/>
      <c r="AC26" s="136"/>
      <c r="AD26" s="136"/>
      <c r="AE26" s="137"/>
      <c r="AF26" s="29"/>
      <c r="AG26" s="29"/>
      <c r="AH26" s="29"/>
      <c r="AI26" s="29"/>
      <c r="AJ26" s="29"/>
      <c r="AK26" s="29"/>
      <c r="AL26" s="44"/>
      <c r="AM26" s="45" t="b">
        <f t="shared" si="20"/>
        <v>0</v>
      </c>
      <c r="AN26" s="46">
        <f t="shared" si="21"/>
        <v>41822.208333333336</v>
      </c>
      <c r="AO26" s="70">
        <f t="shared" si="22"/>
        <v>41822.916666666664</v>
      </c>
      <c r="AP26" s="47">
        <f t="shared" si="23"/>
        <v>41823.208333333336</v>
      </c>
      <c r="AQ26" s="48">
        <f t="shared" si="34"/>
        <v>41822</v>
      </c>
      <c r="AR26" s="49">
        <f t="shared" si="11"/>
        <v>41823</v>
      </c>
      <c r="AS26" s="49">
        <f t="shared" si="35"/>
        <v>1</v>
      </c>
      <c r="AT26" s="50">
        <f t="shared" si="12"/>
        <v>1</v>
      </c>
      <c r="AU26" s="48">
        <f t="shared" si="13"/>
        <v>0.20833333333575865</v>
      </c>
      <c r="AV26" s="49">
        <f t="shared" si="14"/>
        <v>8.3333333335758653E-2</v>
      </c>
      <c r="AW26" s="50">
        <f t="shared" si="15"/>
        <v>0.29166666667151731</v>
      </c>
      <c r="AX26" s="48">
        <f t="shared" si="16"/>
        <v>41822.208333333336</v>
      </c>
      <c r="AY26" s="49">
        <f t="shared" si="24"/>
        <v>41823</v>
      </c>
      <c r="AZ26" s="50">
        <f t="shared" si="17"/>
        <v>0.79166666666424135</v>
      </c>
      <c r="BA26" s="12" t="b">
        <f t="shared" si="25"/>
        <v>1</v>
      </c>
      <c r="BB26" s="8" t="b">
        <f t="shared" si="26"/>
        <v>0</v>
      </c>
      <c r="BC26" s="51" t="b">
        <f t="shared" si="27"/>
        <v>0</v>
      </c>
      <c r="BD26" s="12">
        <f t="shared" si="28"/>
        <v>0</v>
      </c>
      <c r="BE26" s="8">
        <f t="shared" si="29"/>
        <v>0</v>
      </c>
      <c r="BF26" s="12">
        <f t="shared" si="30"/>
        <v>0</v>
      </c>
      <c r="BG26" s="51">
        <f t="shared" si="31"/>
        <v>0</v>
      </c>
      <c r="BH26" s="13">
        <f t="shared" si="32"/>
        <v>0</v>
      </c>
    </row>
    <row r="27" spans="2:60" ht="33" customHeight="1" x14ac:dyDescent="0.15">
      <c r="B27" s="130">
        <f t="shared" si="33"/>
        <v>41823</v>
      </c>
      <c r="C27" s="131"/>
      <c r="D27" s="39" t="str">
        <f t="shared" si="18"/>
        <v>木</v>
      </c>
      <c r="E27" s="132"/>
      <c r="F27" s="133"/>
      <c r="G27" s="134"/>
      <c r="H27" s="135"/>
      <c r="I27" s="40"/>
      <c r="J27" s="41"/>
      <c r="K27" s="40"/>
      <c r="L27" s="41"/>
      <c r="M27" s="42" t="str">
        <f t="shared" si="1"/>
        <v/>
      </c>
      <c r="N27" s="43" t="str">
        <f t="shared" si="2"/>
        <v/>
      </c>
      <c r="O27" s="40"/>
      <c r="P27" s="41"/>
      <c r="Q27" s="42" t="str">
        <f t="shared" si="3"/>
        <v/>
      </c>
      <c r="R27" s="43" t="str">
        <f t="shared" si="4"/>
        <v/>
      </c>
      <c r="S27" s="42"/>
      <c r="T27" s="43" t="str">
        <f t="shared" si="19"/>
        <v/>
      </c>
      <c r="U27" s="42" t="str">
        <f t="shared" si="5"/>
        <v/>
      </c>
      <c r="V27" s="43" t="str">
        <f t="shared" si="6"/>
        <v/>
      </c>
      <c r="W27" s="42" t="str">
        <f t="shared" si="7"/>
        <v/>
      </c>
      <c r="X27" s="43" t="str">
        <f t="shared" si="8"/>
        <v/>
      </c>
      <c r="Y27" s="42" t="str">
        <f t="shared" si="9"/>
        <v/>
      </c>
      <c r="Z27" s="43" t="str">
        <f t="shared" si="10"/>
        <v/>
      </c>
      <c r="AA27" s="136"/>
      <c r="AB27" s="136"/>
      <c r="AC27" s="136"/>
      <c r="AD27" s="136"/>
      <c r="AE27" s="137"/>
      <c r="AF27" s="29"/>
      <c r="AG27" s="29"/>
      <c r="AH27" s="29"/>
      <c r="AI27" s="29"/>
      <c r="AJ27" s="29"/>
      <c r="AK27" s="29"/>
      <c r="AL27" s="44"/>
      <c r="AM27" s="45" t="b">
        <f t="shared" si="20"/>
        <v>0</v>
      </c>
      <c r="AN27" s="46">
        <f t="shared" si="21"/>
        <v>41823.208333333336</v>
      </c>
      <c r="AO27" s="70">
        <f t="shared" si="22"/>
        <v>41823.916666666664</v>
      </c>
      <c r="AP27" s="47">
        <f t="shared" si="23"/>
        <v>41824.208333333336</v>
      </c>
      <c r="AQ27" s="48">
        <f t="shared" si="34"/>
        <v>41823</v>
      </c>
      <c r="AR27" s="49">
        <f t="shared" si="11"/>
        <v>41824</v>
      </c>
      <c r="AS27" s="49">
        <f t="shared" si="35"/>
        <v>1</v>
      </c>
      <c r="AT27" s="50">
        <f t="shared" si="12"/>
        <v>1</v>
      </c>
      <c r="AU27" s="48">
        <f t="shared" si="13"/>
        <v>0.20833333333575865</v>
      </c>
      <c r="AV27" s="49">
        <f t="shared" si="14"/>
        <v>8.3333333335758653E-2</v>
      </c>
      <c r="AW27" s="50">
        <f t="shared" si="15"/>
        <v>0.29166666667151731</v>
      </c>
      <c r="AX27" s="48">
        <f t="shared" si="16"/>
        <v>41823.208333333336</v>
      </c>
      <c r="AY27" s="49">
        <f t="shared" si="24"/>
        <v>41824</v>
      </c>
      <c r="AZ27" s="50">
        <f t="shared" si="17"/>
        <v>0.79166666666424135</v>
      </c>
      <c r="BA27" s="12" t="b">
        <f t="shared" si="25"/>
        <v>1</v>
      </c>
      <c r="BB27" s="8" t="b">
        <f t="shared" si="26"/>
        <v>0</v>
      </c>
      <c r="BC27" s="51" t="b">
        <f t="shared" si="27"/>
        <v>0</v>
      </c>
      <c r="BD27" s="12">
        <f t="shared" si="28"/>
        <v>0</v>
      </c>
      <c r="BE27" s="8">
        <f t="shared" si="29"/>
        <v>0</v>
      </c>
      <c r="BF27" s="12">
        <f t="shared" si="30"/>
        <v>0</v>
      </c>
      <c r="BG27" s="51">
        <f t="shared" si="31"/>
        <v>0</v>
      </c>
      <c r="BH27" s="13">
        <f t="shared" si="32"/>
        <v>0</v>
      </c>
    </row>
    <row r="28" spans="2:60" ht="33" customHeight="1" x14ac:dyDescent="0.15">
      <c r="B28" s="130">
        <f t="shared" si="33"/>
        <v>41824</v>
      </c>
      <c r="C28" s="131"/>
      <c r="D28" s="39" t="str">
        <f t="shared" si="18"/>
        <v>金</v>
      </c>
      <c r="E28" s="132"/>
      <c r="F28" s="133"/>
      <c r="G28" s="134"/>
      <c r="H28" s="135"/>
      <c r="I28" s="40"/>
      <c r="J28" s="41"/>
      <c r="K28" s="40"/>
      <c r="L28" s="41"/>
      <c r="M28" s="42" t="str">
        <f t="shared" si="1"/>
        <v/>
      </c>
      <c r="N28" s="43" t="str">
        <f t="shared" si="2"/>
        <v/>
      </c>
      <c r="O28" s="40"/>
      <c r="P28" s="41"/>
      <c r="Q28" s="42" t="str">
        <f t="shared" si="3"/>
        <v/>
      </c>
      <c r="R28" s="43" t="str">
        <f t="shared" si="4"/>
        <v/>
      </c>
      <c r="S28" s="42"/>
      <c r="T28" s="43" t="str">
        <f t="shared" si="19"/>
        <v/>
      </c>
      <c r="U28" s="42" t="str">
        <f t="shared" si="5"/>
        <v/>
      </c>
      <c r="V28" s="43" t="str">
        <f t="shared" si="6"/>
        <v/>
      </c>
      <c r="W28" s="42" t="str">
        <f t="shared" si="7"/>
        <v/>
      </c>
      <c r="X28" s="43" t="str">
        <f t="shared" si="8"/>
        <v/>
      </c>
      <c r="Y28" s="42" t="str">
        <f t="shared" si="9"/>
        <v/>
      </c>
      <c r="Z28" s="43" t="str">
        <f t="shared" si="10"/>
        <v/>
      </c>
      <c r="AA28" s="136"/>
      <c r="AB28" s="136"/>
      <c r="AC28" s="136"/>
      <c r="AD28" s="136"/>
      <c r="AE28" s="137"/>
      <c r="AF28" s="29"/>
      <c r="AG28" s="29"/>
      <c r="AH28" s="29"/>
      <c r="AI28" s="29"/>
      <c r="AJ28" s="29"/>
      <c r="AK28" s="29"/>
      <c r="AL28" s="44"/>
      <c r="AM28" s="45" t="b">
        <f t="shared" si="20"/>
        <v>0</v>
      </c>
      <c r="AN28" s="46">
        <f t="shared" si="21"/>
        <v>41824.208333333336</v>
      </c>
      <c r="AO28" s="70">
        <f t="shared" si="22"/>
        <v>41824.916666666664</v>
      </c>
      <c r="AP28" s="47">
        <f t="shared" si="23"/>
        <v>41825.208333333336</v>
      </c>
      <c r="AQ28" s="48">
        <f t="shared" si="34"/>
        <v>41824</v>
      </c>
      <c r="AR28" s="49">
        <f t="shared" si="11"/>
        <v>41825</v>
      </c>
      <c r="AS28" s="49">
        <f t="shared" si="35"/>
        <v>1</v>
      </c>
      <c r="AT28" s="50">
        <f t="shared" si="12"/>
        <v>1</v>
      </c>
      <c r="AU28" s="48">
        <f t="shared" si="13"/>
        <v>0.20833333333575865</v>
      </c>
      <c r="AV28" s="49">
        <f t="shared" si="14"/>
        <v>8.3333333335758653E-2</v>
      </c>
      <c r="AW28" s="50">
        <f t="shared" si="15"/>
        <v>0.29166666667151731</v>
      </c>
      <c r="AX28" s="48">
        <f t="shared" si="16"/>
        <v>41824.208333333336</v>
      </c>
      <c r="AY28" s="49">
        <f t="shared" si="24"/>
        <v>41825</v>
      </c>
      <c r="AZ28" s="50">
        <f t="shared" si="17"/>
        <v>0.79166666666424135</v>
      </c>
      <c r="BA28" s="12" t="b">
        <f t="shared" si="25"/>
        <v>1</v>
      </c>
      <c r="BB28" s="8" t="b">
        <f t="shared" si="26"/>
        <v>0</v>
      </c>
      <c r="BC28" s="51" t="b">
        <f t="shared" si="27"/>
        <v>0</v>
      </c>
      <c r="BD28" s="12">
        <f t="shared" si="28"/>
        <v>0</v>
      </c>
      <c r="BE28" s="8">
        <f t="shared" si="29"/>
        <v>0</v>
      </c>
      <c r="BF28" s="12">
        <f t="shared" si="30"/>
        <v>0</v>
      </c>
      <c r="BG28" s="51">
        <f t="shared" si="31"/>
        <v>0</v>
      </c>
      <c r="BH28" s="13">
        <f t="shared" si="32"/>
        <v>0</v>
      </c>
    </row>
    <row r="29" spans="2:60" ht="33" customHeight="1" x14ac:dyDescent="0.15">
      <c r="B29" s="130">
        <f t="shared" si="33"/>
        <v>41825</v>
      </c>
      <c r="C29" s="131"/>
      <c r="D29" s="39" t="str">
        <f t="shared" si="18"/>
        <v>土</v>
      </c>
      <c r="E29" s="132"/>
      <c r="F29" s="133"/>
      <c r="G29" s="134"/>
      <c r="H29" s="135"/>
      <c r="I29" s="40"/>
      <c r="J29" s="41"/>
      <c r="K29" s="40"/>
      <c r="L29" s="41"/>
      <c r="M29" s="42" t="str">
        <f t="shared" si="1"/>
        <v/>
      </c>
      <c r="N29" s="43" t="str">
        <f t="shared" si="2"/>
        <v/>
      </c>
      <c r="O29" s="40"/>
      <c r="P29" s="41"/>
      <c r="Q29" s="42" t="str">
        <f t="shared" si="3"/>
        <v/>
      </c>
      <c r="R29" s="43" t="str">
        <f t="shared" si="4"/>
        <v/>
      </c>
      <c r="S29" s="42"/>
      <c r="T29" s="43" t="str">
        <f t="shared" si="19"/>
        <v/>
      </c>
      <c r="U29" s="42" t="str">
        <f t="shared" si="5"/>
        <v/>
      </c>
      <c r="V29" s="43" t="str">
        <f t="shared" si="6"/>
        <v/>
      </c>
      <c r="W29" s="42" t="str">
        <f t="shared" si="7"/>
        <v/>
      </c>
      <c r="X29" s="43" t="str">
        <f t="shared" si="8"/>
        <v/>
      </c>
      <c r="Y29" s="42" t="str">
        <f t="shared" si="9"/>
        <v/>
      </c>
      <c r="Z29" s="43" t="str">
        <f t="shared" si="10"/>
        <v/>
      </c>
      <c r="AA29" s="136"/>
      <c r="AB29" s="136"/>
      <c r="AC29" s="136"/>
      <c r="AD29" s="136"/>
      <c r="AE29" s="137"/>
      <c r="AF29" s="29"/>
      <c r="AG29" s="29"/>
      <c r="AH29" s="29"/>
      <c r="AI29" s="29"/>
      <c r="AJ29" s="29"/>
      <c r="AK29" s="29"/>
      <c r="AL29" s="44"/>
      <c r="AM29" s="45" t="b">
        <f t="shared" si="20"/>
        <v>0</v>
      </c>
      <c r="AN29" s="46">
        <f t="shared" si="21"/>
        <v>41825.208333333336</v>
      </c>
      <c r="AO29" s="70">
        <f t="shared" si="22"/>
        <v>41825.916666666664</v>
      </c>
      <c r="AP29" s="47">
        <f t="shared" si="23"/>
        <v>41826.208333333336</v>
      </c>
      <c r="AQ29" s="48">
        <f t="shared" si="34"/>
        <v>41825</v>
      </c>
      <c r="AR29" s="49">
        <f t="shared" si="11"/>
        <v>41826</v>
      </c>
      <c r="AS29" s="49">
        <f t="shared" si="35"/>
        <v>1</v>
      </c>
      <c r="AT29" s="50">
        <f t="shared" si="12"/>
        <v>1</v>
      </c>
      <c r="AU29" s="48">
        <f t="shared" si="13"/>
        <v>0.20833333333575865</v>
      </c>
      <c r="AV29" s="49">
        <f t="shared" si="14"/>
        <v>8.3333333335758653E-2</v>
      </c>
      <c r="AW29" s="50">
        <f t="shared" si="15"/>
        <v>0.29166666667151731</v>
      </c>
      <c r="AX29" s="48">
        <f t="shared" si="16"/>
        <v>41825.208333333336</v>
      </c>
      <c r="AY29" s="49">
        <f t="shared" si="24"/>
        <v>41826</v>
      </c>
      <c r="AZ29" s="50">
        <f t="shared" si="17"/>
        <v>0.79166666666424135</v>
      </c>
      <c r="BA29" s="12" t="b">
        <f t="shared" si="25"/>
        <v>1</v>
      </c>
      <c r="BB29" s="8" t="b">
        <f t="shared" si="26"/>
        <v>0</v>
      </c>
      <c r="BC29" s="51" t="b">
        <f t="shared" si="27"/>
        <v>0</v>
      </c>
      <c r="BD29" s="12">
        <f t="shared" si="28"/>
        <v>0</v>
      </c>
      <c r="BE29" s="8">
        <f t="shared" si="29"/>
        <v>0</v>
      </c>
      <c r="BF29" s="12">
        <f t="shared" si="30"/>
        <v>0</v>
      </c>
      <c r="BG29" s="51">
        <f t="shared" si="31"/>
        <v>0</v>
      </c>
      <c r="BH29" s="13">
        <f t="shared" si="32"/>
        <v>0</v>
      </c>
    </row>
    <row r="30" spans="2:60" ht="33" customHeight="1" x14ac:dyDescent="0.15">
      <c r="B30" s="130">
        <f t="shared" si="33"/>
        <v>41826</v>
      </c>
      <c r="C30" s="131"/>
      <c r="D30" s="39" t="str">
        <f t="shared" si="18"/>
        <v>日</v>
      </c>
      <c r="E30" s="132"/>
      <c r="F30" s="133"/>
      <c r="G30" s="134"/>
      <c r="H30" s="135"/>
      <c r="I30" s="40"/>
      <c r="J30" s="41"/>
      <c r="K30" s="40"/>
      <c r="L30" s="41"/>
      <c r="M30" s="42" t="str">
        <f t="shared" si="1"/>
        <v/>
      </c>
      <c r="N30" s="43" t="str">
        <f t="shared" si="2"/>
        <v/>
      </c>
      <c r="O30" s="40"/>
      <c r="P30" s="41"/>
      <c r="Q30" s="42" t="str">
        <f t="shared" si="3"/>
        <v/>
      </c>
      <c r="R30" s="43" t="str">
        <f t="shared" si="4"/>
        <v/>
      </c>
      <c r="S30" s="42"/>
      <c r="T30" s="43" t="str">
        <f t="shared" si="19"/>
        <v/>
      </c>
      <c r="U30" s="42" t="str">
        <f t="shared" si="5"/>
        <v/>
      </c>
      <c r="V30" s="43" t="str">
        <f t="shared" si="6"/>
        <v/>
      </c>
      <c r="W30" s="42" t="str">
        <f t="shared" si="7"/>
        <v/>
      </c>
      <c r="X30" s="43" t="str">
        <f t="shared" si="8"/>
        <v/>
      </c>
      <c r="Y30" s="42" t="str">
        <f t="shared" si="9"/>
        <v/>
      </c>
      <c r="Z30" s="43" t="str">
        <f t="shared" si="10"/>
        <v/>
      </c>
      <c r="AA30" s="136"/>
      <c r="AB30" s="136"/>
      <c r="AC30" s="136"/>
      <c r="AD30" s="136"/>
      <c r="AE30" s="137"/>
      <c r="AF30" s="29"/>
      <c r="AG30" s="29"/>
      <c r="AH30" s="29"/>
      <c r="AI30" s="29"/>
      <c r="AJ30" s="29"/>
      <c r="AK30" s="29"/>
      <c r="AL30" s="44"/>
      <c r="AM30" s="45" t="b">
        <f t="shared" si="20"/>
        <v>0</v>
      </c>
      <c r="AN30" s="46">
        <f t="shared" si="21"/>
        <v>41826.208333333336</v>
      </c>
      <c r="AO30" s="70">
        <f t="shared" si="22"/>
        <v>41826.916666666664</v>
      </c>
      <c r="AP30" s="47">
        <f t="shared" si="23"/>
        <v>41827.208333333336</v>
      </c>
      <c r="AQ30" s="48">
        <f t="shared" si="34"/>
        <v>41826</v>
      </c>
      <c r="AR30" s="49">
        <f t="shared" si="11"/>
        <v>41827</v>
      </c>
      <c r="AS30" s="49">
        <f t="shared" si="35"/>
        <v>1</v>
      </c>
      <c r="AT30" s="50">
        <f>IF(AS30&gt;TIME(O30,P30,0),AS30-TIME(O30,P30,0),0)</f>
        <v>1</v>
      </c>
      <c r="AU30" s="48">
        <f t="shared" si="13"/>
        <v>0.20833333333575865</v>
      </c>
      <c r="AV30" s="49">
        <f>IF(AQ30&gt;AO30,IF(AR30&gt;AP30,AP30,AR30)-AQ30,IF(AR30&gt;AO30,IF(AR30&gt;AP30,AP30,AR30)-AO30,0))</f>
        <v>8.3333333335758653E-2</v>
      </c>
      <c r="AW30" s="50">
        <f t="shared" si="15"/>
        <v>0.29166666667151731</v>
      </c>
      <c r="AX30" s="48">
        <f t="shared" si="16"/>
        <v>41826.208333333336</v>
      </c>
      <c r="AY30" s="49">
        <f t="shared" si="24"/>
        <v>41827</v>
      </c>
      <c r="AZ30" s="50">
        <f t="shared" si="17"/>
        <v>0.79166666666424135</v>
      </c>
      <c r="BA30" s="12" t="b">
        <f t="shared" si="25"/>
        <v>1</v>
      </c>
      <c r="BB30" s="8" t="b">
        <f t="shared" si="26"/>
        <v>0</v>
      </c>
      <c r="BC30" s="51" t="b">
        <f t="shared" si="27"/>
        <v>0</v>
      </c>
      <c r="BD30" s="12">
        <f t="shared" si="28"/>
        <v>0</v>
      </c>
      <c r="BE30" s="8">
        <f t="shared" si="29"/>
        <v>0</v>
      </c>
      <c r="BF30" s="12">
        <f t="shared" si="30"/>
        <v>0</v>
      </c>
      <c r="BG30" s="51">
        <f t="shared" si="31"/>
        <v>0</v>
      </c>
      <c r="BH30" s="13">
        <f t="shared" si="32"/>
        <v>0</v>
      </c>
    </row>
    <row r="31" spans="2:60" ht="33" customHeight="1" x14ac:dyDescent="0.15">
      <c r="B31" s="130">
        <f t="shared" si="33"/>
        <v>41827</v>
      </c>
      <c r="C31" s="131"/>
      <c r="D31" s="39" t="str">
        <f t="shared" si="18"/>
        <v>月</v>
      </c>
      <c r="E31" s="132"/>
      <c r="F31" s="133"/>
      <c r="G31" s="134"/>
      <c r="H31" s="135"/>
      <c r="I31" s="40"/>
      <c r="J31" s="41"/>
      <c r="K31" s="40"/>
      <c r="L31" s="41"/>
      <c r="M31" s="42" t="str">
        <f t="shared" si="1"/>
        <v/>
      </c>
      <c r="N31" s="43" t="str">
        <f t="shared" si="2"/>
        <v/>
      </c>
      <c r="O31" s="40"/>
      <c r="P31" s="41"/>
      <c r="Q31" s="42" t="str">
        <f t="shared" si="3"/>
        <v/>
      </c>
      <c r="R31" s="43" t="str">
        <f t="shared" si="4"/>
        <v/>
      </c>
      <c r="S31" s="42"/>
      <c r="T31" s="43" t="str">
        <f t="shared" si="19"/>
        <v/>
      </c>
      <c r="U31" s="42" t="str">
        <f t="shared" si="5"/>
        <v/>
      </c>
      <c r="V31" s="43" t="str">
        <f t="shared" si="6"/>
        <v/>
      </c>
      <c r="W31" s="42" t="str">
        <f t="shared" si="7"/>
        <v/>
      </c>
      <c r="X31" s="43" t="str">
        <f t="shared" si="8"/>
        <v/>
      </c>
      <c r="Y31" s="42" t="str">
        <f t="shared" si="9"/>
        <v/>
      </c>
      <c r="Z31" s="43" t="str">
        <f t="shared" si="10"/>
        <v/>
      </c>
      <c r="AA31" s="136"/>
      <c r="AB31" s="136"/>
      <c r="AC31" s="136"/>
      <c r="AD31" s="136"/>
      <c r="AE31" s="137"/>
      <c r="AF31" s="29"/>
      <c r="AG31" s="29"/>
      <c r="AH31" s="29"/>
      <c r="AI31" s="29"/>
      <c r="AJ31" s="29"/>
      <c r="AK31" s="29"/>
      <c r="AL31" s="44"/>
      <c r="AM31" s="45" t="b">
        <f t="shared" si="20"/>
        <v>0</v>
      </c>
      <c r="AN31" s="46">
        <f t="shared" si="21"/>
        <v>41827.208333333336</v>
      </c>
      <c r="AO31" s="70">
        <f t="shared" si="22"/>
        <v>41827.916666666664</v>
      </c>
      <c r="AP31" s="47">
        <f t="shared" si="23"/>
        <v>41828.208333333336</v>
      </c>
      <c r="AQ31" s="48">
        <f t="shared" si="34"/>
        <v>41827</v>
      </c>
      <c r="AR31" s="49">
        <f t="shared" si="11"/>
        <v>41828</v>
      </c>
      <c r="AS31" s="49">
        <f t="shared" si="35"/>
        <v>1</v>
      </c>
      <c r="AT31" s="50">
        <f t="shared" ref="AT31:AT40" si="36">IF(AS31&gt;TIME(O31,P31,0),AS31-TIME(O31,P31,0),0)</f>
        <v>1</v>
      </c>
      <c r="AU31" s="48">
        <f t="shared" si="13"/>
        <v>0.20833333333575865</v>
      </c>
      <c r="AV31" s="49">
        <f t="shared" ref="AV31:AV40" si="37">IF(AQ31&gt;AO31,IF(AR31&gt;AP31,AP31,AR31)-AQ31,IF(AR31&gt;AO31,IF(AR31&gt;AP31,AP31,AR31)-AO31,0))</f>
        <v>8.3333333335758653E-2</v>
      </c>
      <c r="AW31" s="50">
        <f t="shared" si="15"/>
        <v>0.29166666667151731</v>
      </c>
      <c r="AX31" s="48">
        <f t="shared" si="16"/>
        <v>41827.208333333336</v>
      </c>
      <c r="AY31" s="49">
        <f t="shared" si="24"/>
        <v>41828</v>
      </c>
      <c r="AZ31" s="50">
        <f t="shared" si="17"/>
        <v>0.79166666666424135</v>
      </c>
      <c r="BA31" s="12" t="b">
        <f t="shared" si="25"/>
        <v>1</v>
      </c>
      <c r="BB31" s="8" t="b">
        <f t="shared" si="26"/>
        <v>0</v>
      </c>
      <c r="BC31" s="51" t="b">
        <f t="shared" si="27"/>
        <v>0</v>
      </c>
      <c r="BD31" s="12">
        <f t="shared" si="28"/>
        <v>0</v>
      </c>
      <c r="BE31" s="8">
        <f t="shared" si="29"/>
        <v>0</v>
      </c>
      <c r="BF31" s="12">
        <f t="shared" si="30"/>
        <v>0</v>
      </c>
      <c r="BG31" s="51">
        <f t="shared" si="31"/>
        <v>0</v>
      </c>
      <c r="BH31" s="13">
        <f t="shared" si="32"/>
        <v>0</v>
      </c>
    </row>
    <row r="32" spans="2:60" ht="33" customHeight="1" x14ac:dyDescent="0.15">
      <c r="B32" s="130">
        <f t="shared" si="33"/>
        <v>41828</v>
      </c>
      <c r="C32" s="131"/>
      <c r="D32" s="39" t="str">
        <f t="shared" si="18"/>
        <v>火</v>
      </c>
      <c r="E32" s="132"/>
      <c r="F32" s="133"/>
      <c r="G32" s="134"/>
      <c r="H32" s="135"/>
      <c r="I32" s="40"/>
      <c r="J32" s="41"/>
      <c r="K32" s="40"/>
      <c r="L32" s="41"/>
      <c r="M32" s="42" t="str">
        <f t="shared" si="1"/>
        <v/>
      </c>
      <c r="N32" s="43" t="str">
        <f t="shared" si="2"/>
        <v/>
      </c>
      <c r="O32" s="40"/>
      <c r="P32" s="41"/>
      <c r="Q32" s="42" t="str">
        <f t="shared" si="3"/>
        <v/>
      </c>
      <c r="R32" s="43" t="str">
        <f t="shared" si="4"/>
        <v/>
      </c>
      <c r="S32" s="42"/>
      <c r="T32" s="43" t="str">
        <f t="shared" si="19"/>
        <v/>
      </c>
      <c r="U32" s="42" t="str">
        <f t="shared" si="5"/>
        <v/>
      </c>
      <c r="V32" s="43" t="str">
        <f t="shared" si="6"/>
        <v/>
      </c>
      <c r="W32" s="42" t="str">
        <f t="shared" si="7"/>
        <v/>
      </c>
      <c r="X32" s="43" t="str">
        <f t="shared" si="8"/>
        <v/>
      </c>
      <c r="Y32" s="42" t="str">
        <f t="shared" si="9"/>
        <v/>
      </c>
      <c r="Z32" s="43" t="str">
        <f t="shared" si="10"/>
        <v/>
      </c>
      <c r="AA32" s="136"/>
      <c r="AB32" s="136"/>
      <c r="AC32" s="136"/>
      <c r="AD32" s="136"/>
      <c r="AE32" s="137"/>
      <c r="AF32" s="29"/>
      <c r="AG32" s="29"/>
      <c r="AH32" s="29"/>
      <c r="AI32" s="29"/>
      <c r="AJ32" s="29"/>
      <c r="AK32" s="29"/>
      <c r="AL32" s="44"/>
      <c r="AM32" s="45" t="b">
        <f t="shared" si="20"/>
        <v>0</v>
      </c>
      <c r="AN32" s="46">
        <f t="shared" si="21"/>
        <v>41828.208333333336</v>
      </c>
      <c r="AO32" s="70">
        <f t="shared" si="22"/>
        <v>41828.916666666664</v>
      </c>
      <c r="AP32" s="47">
        <f t="shared" si="23"/>
        <v>41829.208333333336</v>
      </c>
      <c r="AQ32" s="48">
        <f t="shared" si="34"/>
        <v>41828</v>
      </c>
      <c r="AR32" s="49">
        <f t="shared" si="11"/>
        <v>41829</v>
      </c>
      <c r="AS32" s="49">
        <f t="shared" si="35"/>
        <v>1</v>
      </c>
      <c r="AT32" s="50">
        <f t="shared" si="36"/>
        <v>1</v>
      </c>
      <c r="AU32" s="48">
        <f t="shared" si="13"/>
        <v>0.20833333333575865</v>
      </c>
      <c r="AV32" s="49">
        <f t="shared" si="37"/>
        <v>8.3333333335758653E-2</v>
      </c>
      <c r="AW32" s="50">
        <f t="shared" si="15"/>
        <v>0.29166666667151731</v>
      </c>
      <c r="AX32" s="48">
        <f t="shared" si="16"/>
        <v>41828.208333333336</v>
      </c>
      <c r="AY32" s="49">
        <f t="shared" si="24"/>
        <v>41829</v>
      </c>
      <c r="AZ32" s="50">
        <f t="shared" si="17"/>
        <v>0.79166666666424135</v>
      </c>
      <c r="BA32" s="12" t="b">
        <f t="shared" si="25"/>
        <v>1</v>
      </c>
      <c r="BB32" s="8" t="b">
        <f t="shared" si="26"/>
        <v>0</v>
      </c>
      <c r="BC32" s="51" t="b">
        <f t="shared" si="27"/>
        <v>0</v>
      </c>
      <c r="BD32" s="12">
        <f t="shared" si="28"/>
        <v>0</v>
      </c>
      <c r="BE32" s="8">
        <f t="shared" si="29"/>
        <v>0</v>
      </c>
      <c r="BF32" s="12">
        <f t="shared" si="30"/>
        <v>0</v>
      </c>
      <c r="BG32" s="51">
        <f t="shared" si="31"/>
        <v>0</v>
      </c>
      <c r="BH32" s="13">
        <f t="shared" si="32"/>
        <v>0</v>
      </c>
    </row>
    <row r="33" spans="1:60" ht="33" customHeight="1" x14ac:dyDescent="0.15">
      <c r="B33" s="130">
        <f t="shared" si="33"/>
        <v>41829</v>
      </c>
      <c r="C33" s="131"/>
      <c r="D33" s="39" t="str">
        <f t="shared" si="18"/>
        <v>水</v>
      </c>
      <c r="E33" s="132"/>
      <c r="F33" s="133"/>
      <c r="G33" s="134"/>
      <c r="H33" s="135"/>
      <c r="I33" s="40"/>
      <c r="J33" s="41"/>
      <c r="K33" s="40"/>
      <c r="L33" s="41"/>
      <c r="M33" s="42" t="str">
        <f t="shared" si="1"/>
        <v/>
      </c>
      <c r="N33" s="43" t="str">
        <f t="shared" si="2"/>
        <v/>
      </c>
      <c r="O33" s="40"/>
      <c r="P33" s="41"/>
      <c r="Q33" s="42" t="str">
        <f t="shared" si="3"/>
        <v/>
      </c>
      <c r="R33" s="43" t="str">
        <f t="shared" si="4"/>
        <v/>
      </c>
      <c r="S33" s="42"/>
      <c r="T33" s="43" t="str">
        <f t="shared" si="19"/>
        <v/>
      </c>
      <c r="U33" s="42" t="str">
        <f t="shared" si="5"/>
        <v/>
      </c>
      <c r="V33" s="43" t="str">
        <f t="shared" si="6"/>
        <v/>
      </c>
      <c r="W33" s="42" t="str">
        <f t="shared" si="7"/>
        <v/>
      </c>
      <c r="X33" s="43" t="str">
        <f t="shared" si="8"/>
        <v/>
      </c>
      <c r="Y33" s="42" t="str">
        <f t="shared" si="9"/>
        <v/>
      </c>
      <c r="Z33" s="43" t="str">
        <f t="shared" si="10"/>
        <v/>
      </c>
      <c r="AA33" s="136"/>
      <c r="AB33" s="136"/>
      <c r="AC33" s="136"/>
      <c r="AD33" s="136"/>
      <c r="AE33" s="137"/>
      <c r="AF33" s="29"/>
      <c r="AG33" s="29"/>
      <c r="AH33" s="29"/>
      <c r="AI33" s="29"/>
      <c r="AJ33" s="29"/>
      <c r="AK33" s="29"/>
      <c r="AL33" s="44"/>
      <c r="AM33" s="45" t="b">
        <f t="shared" si="20"/>
        <v>0</v>
      </c>
      <c r="AN33" s="46">
        <f t="shared" si="21"/>
        <v>41829.208333333336</v>
      </c>
      <c r="AO33" s="70">
        <f t="shared" si="22"/>
        <v>41829.916666666664</v>
      </c>
      <c r="AP33" s="47">
        <f t="shared" si="23"/>
        <v>41830.208333333336</v>
      </c>
      <c r="AQ33" s="48">
        <f t="shared" si="34"/>
        <v>41829</v>
      </c>
      <c r="AR33" s="49">
        <f t="shared" si="11"/>
        <v>41830</v>
      </c>
      <c r="AS33" s="49">
        <f t="shared" si="35"/>
        <v>1</v>
      </c>
      <c r="AT33" s="50">
        <f t="shared" si="36"/>
        <v>1</v>
      </c>
      <c r="AU33" s="48">
        <f t="shared" si="13"/>
        <v>0.20833333333575865</v>
      </c>
      <c r="AV33" s="49">
        <f t="shared" si="37"/>
        <v>8.3333333335758653E-2</v>
      </c>
      <c r="AW33" s="50">
        <f t="shared" si="15"/>
        <v>0.29166666667151731</v>
      </c>
      <c r="AX33" s="48">
        <f t="shared" si="16"/>
        <v>41829.208333333336</v>
      </c>
      <c r="AY33" s="49">
        <f t="shared" si="24"/>
        <v>41830</v>
      </c>
      <c r="AZ33" s="50">
        <f t="shared" si="17"/>
        <v>0.79166666666424135</v>
      </c>
      <c r="BA33" s="12" t="b">
        <f t="shared" si="25"/>
        <v>1</v>
      </c>
      <c r="BB33" s="8" t="b">
        <f t="shared" si="26"/>
        <v>0</v>
      </c>
      <c r="BC33" s="51" t="b">
        <f t="shared" si="27"/>
        <v>0</v>
      </c>
      <c r="BD33" s="12">
        <f t="shared" si="28"/>
        <v>0</v>
      </c>
      <c r="BE33" s="8">
        <f t="shared" si="29"/>
        <v>0</v>
      </c>
      <c r="BF33" s="12">
        <f t="shared" si="30"/>
        <v>0</v>
      </c>
      <c r="BG33" s="51">
        <f t="shared" si="31"/>
        <v>0</v>
      </c>
      <c r="BH33" s="13">
        <f t="shared" si="32"/>
        <v>0</v>
      </c>
    </row>
    <row r="34" spans="1:60" ht="33" customHeight="1" x14ac:dyDescent="0.15">
      <c r="B34" s="130">
        <f t="shared" si="33"/>
        <v>41830</v>
      </c>
      <c r="C34" s="131"/>
      <c r="D34" s="39" t="str">
        <f t="shared" si="18"/>
        <v>木</v>
      </c>
      <c r="E34" s="132"/>
      <c r="F34" s="133"/>
      <c r="G34" s="134"/>
      <c r="H34" s="135"/>
      <c r="I34" s="40"/>
      <c r="J34" s="41"/>
      <c r="K34" s="40"/>
      <c r="L34" s="41"/>
      <c r="M34" s="42" t="str">
        <f t="shared" si="1"/>
        <v/>
      </c>
      <c r="N34" s="43" t="str">
        <f t="shared" si="2"/>
        <v/>
      </c>
      <c r="O34" s="40"/>
      <c r="P34" s="41"/>
      <c r="Q34" s="42" t="str">
        <f t="shared" si="3"/>
        <v/>
      </c>
      <c r="R34" s="43" t="str">
        <f t="shared" si="4"/>
        <v/>
      </c>
      <c r="S34" s="42"/>
      <c r="T34" s="43" t="str">
        <f t="shared" si="19"/>
        <v/>
      </c>
      <c r="U34" s="42" t="str">
        <f t="shared" si="5"/>
        <v/>
      </c>
      <c r="V34" s="43" t="str">
        <f t="shared" si="6"/>
        <v/>
      </c>
      <c r="W34" s="42" t="str">
        <f t="shared" si="7"/>
        <v/>
      </c>
      <c r="X34" s="43" t="str">
        <f t="shared" si="8"/>
        <v/>
      </c>
      <c r="Y34" s="42" t="str">
        <f t="shared" si="9"/>
        <v/>
      </c>
      <c r="Z34" s="43" t="str">
        <f t="shared" si="10"/>
        <v/>
      </c>
      <c r="AA34" s="136"/>
      <c r="AB34" s="136"/>
      <c r="AC34" s="136"/>
      <c r="AD34" s="136"/>
      <c r="AE34" s="137"/>
      <c r="AF34" s="29"/>
      <c r="AG34" s="29"/>
      <c r="AH34" s="29"/>
      <c r="AI34" s="29"/>
      <c r="AJ34" s="29"/>
      <c r="AK34" s="29"/>
      <c r="AL34" s="44"/>
      <c r="AM34" s="45" t="b">
        <f t="shared" si="20"/>
        <v>0</v>
      </c>
      <c r="AN34" s="46">
        <f t="shared" si="21"/>
        <v>41830.208333333336</v>
      </c>
      <c r="AO34" s="70">
        <f t="shared" si="22"/>
        <v>41830.916666666664</v>
      </c>
      <c r="AP34" s="47">
        <f t="shared" si="23"/>
        <v>41831.208333333336</v>
      </c>
      <c r="AQ34" s="48">
        <f t="shared" si="34"/>
        <v>41830</v>
      </c>
      <c r="AR34" s="49">
        <f t="shared" si="11"/>
        <v>41831</v>
      </c>
      <c r="AS34" s="49">
        <f t="shared" si="35"/>
        <v>1</v>
      </c>
      <c r="AT34" s="50">
        <f t="shared" si="36"/>
        <v>1</v>
      </c>
      <c r="AU34" s="48">
        <f t="shared" si="13"/>
        <v>0.20833333333575865</v>
      </c>
      <c r="AV34" s="49">
        <f t="shared" si="37"/>
        <v>8.3333333335758653E-2</v>
      </c>
      <c r="AW34" s="50">
        <f t="shared" si="15"/>
        <v>0.29166666667151731</v>
      </c>
      <c r="AX34" s="48">
        <f t="shared" si="16"/>
        <v>41830.208333333336</v>
      </c>
      <c r="AY34" s="49">
        <f t="shared" si="24"/>
        <v>41831</v>
      </c>
      <c r="AZ34" s="50">
        <f t="shared" si="17"/>
        <v>0.79166666666424135</v>
      </c>
      <c r="BA34" s="12" t="b">
        <f t="shared" si="25"/>
        <v>1</v>
      </c>
      <c r="BB34" s="8" t="b">
        <f t="shared" si="26"/>
        <v>0</v>
      </c>
      <c r="BC34" s="51" t="b">
        <f t="shared" si="27"/>
        <v>0</v>
      </c>
      <c r="BD34" s="12">
        <f t="shared" si="28"/>
        <v>0</v>
      </c>
      <c r="BE34" s="8">
        <f t="shared" si="29"/>
        <v>0</v>
      </c>
      <c r="BF34" s="12">
        <f t="shared" si="30"/>
        <v>0</v>
      </c>
      <c r="BG34" s="51">
        <f t="shared" si="31"/>
        <v>0</v>
      </c>
      <c r="BH34" s="13">
        <f t="shared" si="32"/>
        <v>0</v>
      </c>
    </row>
    <row r="35" spans="1:60" ht="33" customHeight="1" x14ac:dyDescent="0.15">
      <c r="B35" s="130">
        <f t="shared" si="33"/>
        <v>41831</v>
      </c>
      <c r="C35" s="131"/>
      <c r="D35" s="39" t="str">
        <f t="shared" si="18"/>
        <v>金</v>
      </c>
      <c r="E35" s="132"/>
      <c r="F35" s="133"/>
      <c r="G35" s="134"/>
      <c r="H35" s="135"/>
      <c r="I35" s="40"/>
      <c r="J35" s="41"/>
      <c r="K35" s="40"/>
      <c r="L35" s="41"/>
      <c r="M35" s="42" t="str">
        <f t="shared" si="1"/>
        <v/>
      </c>
      <c r="N35" s="43" t="str">
        <f t="shared" si="2"/>
        <v/>
      </c>
      <c r="O35" s="40"/>
      <c r="P35" s="41"/>
      <c r="Q35" s="42" t="str">
        <f t="shared" si="3"/>
        <v/>
      </c>
      <c r="R35" s="43" t="str">
        <f t="shared" si="4"/>
        <v/>
      </c>
      <c r="S35" s="42"/>
      <c r="T35" s="43" t="str">
        <f t="shared" si="19"/>
        <v/>
      </c>
      <c r="U35" s="42" t="str">
        <f t="shared" si="5"/>
        <v/>
      </c>
      <c r="V35" s="43" t="str">
        <f t="shared" si="6"/>
        <v/>
      </c>
      <c r="W35" s="42" t="str">
        <f t="shared" si="7"/>
        <v/>
      </c>
      <c r="X35" s="43" t="str">
        <f t="shared" si="8"/>
        <v/>
      </c>
      <c r="Y35" s="42" t="str">
        <f t="shared" si="9"/>
        <v/>
      </c>
      <c r="Z35" s="43" t="str">
        <f t="shared" si="10"/>
        <v/>
      </c>
      <c r="AA35" s="136"/>
      <c r="AB35" s="136"/>
      <c r="AC35" s="136"/>
      <c r="AD35" s="136"/>
      <c r="AE35" s="137"/>
      <c r="AF35" s="29"/>
      <c r="AG35" s="29"/>
      <c r="AH35" s="29"/>
      <c r="AI35" s="29"/>
      <c r="AJ35" s="29"/>
      <c r="AK35" s="29"/>
      <c r="AL35" s="44"/>
      <c r="AM35" s="45" t="b">
        <f t="shared" si="20"/>
        <v>0</v>
      </c>
      <c r="AN35" s="46">
        <f t="shared" si="21"/>
        <v>41831.208333333336</v>
      </c>
      <c r="AO35" s="70">
        <f t="shared" si="22"/>
        <v>41831.916666666664</v>
      </c>
      <c r="AP35" s="47">
        <f t="shared" si="23"/>
        <v>41832.208333333336</v>
      </c>
      <c r="AQ35" s="48">
        <f t="shared" si="34"/>
        <v>41831</v>
      </c>
      <c r="AR35" s="49">
        <f t="shared" si="11"/>
        <v>41832</v>
      </c>
      <c r="AS35" s="49">
        <f t="shared" si="35"/>
        <v>1</v>
      </c>
      <c r="AT35" s="50">
        <f t="shared" si="36"/>
        <v>1</v>
      </c>
      <c r="AU35" s="48">
        <f t="shared" si="13"/>
        <v>0.20833333333575865</v>
      </c>
      <c r="AV35" s="49">
        <f t="shared" si="37"/>
        <v>8.3333333335758653E-2</v>
      </c>
      <c r="AW35" s="50">
        <f t="shared" si="15"/>
        <v>0.29166666667151731</v>
      </c>
      <c r="AX35" s="48">
        <f t="shared" si="16"/>
        <v>41831.208333333336</v>
      </c>
      <c r="AY35" s="49">
        <f t="shared" si="24"/>
        <v>41832</v>
      </c>
      <c r="AZ35" s="50">
        <f t="shared" si="17"/>
        <v>0.79166666666424135</v>
      </c>
      <c r="BA35" s="12" t="b">
        <f t="shared" si="25"/>
        <v>1</v>
      </c>
      <c r="BB35" s="8" t="b">
        <f t="shared" si="26"/>
        <v>0</v>
      </c>
      <c r="BC35" s="51" t="b">
        <f t="shared" si="27"/>
        <v>0</v>
      </c>
      <c r="BD35" s="12">
        <f t="shared" si="28"/>
        <v>0</v>
      </c>
      <c r="BE35" s="8">
        <f t="shared" si="29"/>
        <v>0</v>
      </c>
      <c r="BF35" s="12">
        <f t="shared" si="30"/>
        <v>0</v>
      </c>
      <c r="BG35" s="51">
        <f t="shared" si="31"/>
        <v>0</v>
      </c>
      <c r="BH35" s="13">
        <f t="shared" si="32"/>
        <v>0</v>
      </c>
    </row>
    <row r="36" spans="1:60" ht="33" customHeight="1" x14ac:dyDescent="0.15">
      <c r="B36" s="130">
        <f t="shared" si="33"/>
        <v>41832</v>
      </c>
      <c r="C36" s="131"/>
      <c r="D36" s="39" t="str">
        <f t="shared" si="18"/>
        <v>土</v>
      </c>
      <c r="E36" s="132"/>
      <c r="F36" s="133"/>
      <c r="G36" s="134"/>
      <c r="H36" s="135"/>
      <c r="I36" s="40"/>
      <c r="J36" s="41"/>
      <c r="K36" s="40"/>
      <c r="L36" s="41"/>
      <c r="M36" s="42" t="str">
        <f t="shared" si="1"/>
        <v/>
      </c>
      <c r="N36" s="43" t="str">
        <f t="shared" si="2"/>
        <v/>
      </c>
      <c r="O36" s="40"/>
      <c r="P36" s="41"/>
      <c r="Q36" s="42" t="str">
        <f t="shared" si="3"/>
        <v/>
      </c>
      <c r="R36" s="43" t="str">
        <f t="shared" si="4"/>
        <v/>
      </c>
      <c r="S36" s="42"/>
      <c r="T36" s="43" t="str">
        <f t="shared" si="19"/>
        <v/>
      </c>
      <c r="U36" s="42" t="str">
        <f t="shared" si="5"/>
        <v/>
      </c>
      <c r="V36" s="43" t="str">
        <f t="shared" si="6"/>
        <v/>
      </c>
      <c r="W36" s="42" t="str">
        <f t="shared" si="7"/>
        <v/>
      </c>
      <c r="X36" s="43" t="str">
        <f t="shared" si="8"/>
        <v/>
      </c>
      <c r="Y36" s="42" t="str">
        <f t="shared" si="9"/>
        <v/>
      </c>
      <c r="Z36" s="43" t="str">
        <f t="shared" si="10"/>
        <v/>
      </c>
      <c r="AA36" s="136"/>
      <c r="AB36" s="136"/>
      <c r="AC36" s="136"/>
      <c r="AD36" s="136"/>
      <c r="AE36" s="137"/>
      <c r="AF36" s="29"/>
      <c r="AG36" s="29"/>
      <c r="AH36" s="29"/>
      <c r="AI36" s="29"/>
      <c r="AJ36" s="29"/>
      <c r="AK36" s="29"/>
      <c r="AL36" s="44"/>
      <c r="AM36" s="45" t="b">
        <f t="shared" si="20"/>
        <v>0</v>
      </c>
      <c r="AN36" s="46">
        <f t="shared" si="21"/>
        <v>41832.208333333336</v>
      </c>
      <c r="AO36" s="70">
        <f t="shared" si="22"/>
        <v>41832.916666666664</v>
      </c>
      <c r="AP36" s="47">
        <f t="shared" si="23"/>
        <v>41833.208333333336</v>
      </c>
      <c r="AQ36" s="48">
        <f t="shared" si="34"/>
        <v>41832</v>
      </c>
      <c r="AR36" s="49">
        <f t="shared" si="11"/>
        <v>41833</v>
      </c>
      <c r="AS36" s="49">
        <f t="shared" si="35"/>
        <v>1</v>
      </c>
      <c r="AT36" s="50">
        <f t="shared" si="36"/>
        <v>1</v>
      </c>
      <c r="AU36" s="48">
        <f t="shared" si="13"/>
        <v>0.20833333333575865</v>
      </c>
      <c r="AV36" s="49">
        <f t="shared" si="37"/>
        <v>8.3333333335758653E-2</v>
      </c>
      <c r="AW36" s="50">
        <f t="shared" si="15"/>
        <v>0.29166666667151731</v>
      </c>
      <c r="AX36" s="48">
        <f t="shared" si="16"/>
        <v>41832.208333333336</v>
      </c>
      <c r="AY36" s="49">
        <f t="shared" si="24"/>
        <v>41833</v>
      </c>
      <c r="AZ36" s="50">
        <f t="shared" si="17"/>
        <v>0.79166666666424135</v>
      </c>
      <c r="BA36" s="12" t="b">
        <f t="shared" si="25"/>
        <v>1</v>
      </c>
      <c r="BB36" s="8" t="b">
        <f t="shared" si="26"/>
        <v>0</v>
      </c>
      <c r="BC36" s="51" t="b">
        <f t="shared" si="27"/>
        <v>0</v>
      </c>
      <c r="BD36" s="12">
        <f t="shared" si="28"/>
        <v>0</v>
      </c>
      <c r="BE36" s="8">
        <f t="shared" si="29"/>
        <v>0</v>
      </c>
      <c r="BF36" s="12">
        <f t="shared" si="30"/>
        <v>0</v>
      </c>
      <c r="BG36" s="51">
        <f t="shared" si="31"/>
        <v>0</v>
      </c>
      <c r="BH36" s="13">
        <f t="shared" si="32"/>
        <v>0</v>
      </c>
    </row>
    <row r="37" spans="1:60" ht="33" customHeight="1" x14ac:dyDescent="0.15">
      <c r="B37" s="130">
        <f>B36+1</f>
        <v>41833</v>
      </c>
      <c r="C37" s="131"/>
      <c r="D37" s="39" t="str">
        <f t="shared" si="18"/>
        <v>日</v>
      </c>
      <c r="E37" s="132"/>
      <c r="F37" s="133"/>
      <c r="G37" s="134"/>
      <c r="H37" s="135"/>
      <c r="I37" s="40"/>
      <c r="J37" s="41"/>
      <c r="K37" s="40"/>
      <c r="L37" s="41"/>
      <c r="M37" s="42" t="str">
        <f t="shared" si="1"/>
        <v/>
      </c>
      <c r="N37" s="43" t="str">
        <f t="shared" si="2"/>
        <v/>
      </c>
      <c r="O37" s="40"/>
      <c r="P37" s="41"/>
      <c r="Q37" s="42" t="str">
        <f t="shared" si="3"/>
        <v/>
      </c>
      <c r="R37" s="43" t="str">
        <f t="shared" si="4"/>
        <v/>
      </c>
      <c r="S37" s="42"/>
      <c r="T37" s="43" t="str">
        <f t="shared" si="19"/>
        <v/>
      </c>
      <c r="U37" s="42" t="str">
        <f t="shared" si="5"/>
        <v/>
      </c>
      <c r="V37" s="43" t="str">
        <f t="shared" si="6"/>
        <v/>
      </c>
      <c r="W37" s="42" t="str">
        <f t="shared" si="7"/>
        <v/>
      </c>
      <c r="X37" s="43" t="str">
        <f t="shared" si="8"/>
        <v/>
      </c>
      <c r="Y37" s="42" t="str">
        <f t="shared" si="9"/>
        <v/>
      </c>
      <c r="Z37" s="43" t="str">
        <f t="shared" si="10"/>
        <v/>
      </c>
      <c r="AA37" s="136"/>
      <c r="AB37" s="136"/>
      <c r="AC37" s="136"/>
      <c r="AD37" s="136"/>
      <c r="AE37" s="137"/>
      <c r="AF37" s="29"/>
      <c r="AG37" s="29"/>
      <c r="AH37" s="29"/>
      <c r="AI37" s="29"/>
      <c r="AJ37" s="29"/>
      <c r="AK37" s="29"/>
      <c r="AL37" s="44"/>
      <c r="AM37" s="45" t="b">
        <f>IF(OR(DAY(A37)&gt;15, I37="",J37="",K37="",L37=""),FALSE,TRUE)</f>
        <v>0</v>
      </c>
      <c r="AN37" s="46">
        <f t="shared" si="21"/>
        <v>41833.208333333336</v>
      </c>
      <c r="AO37" s="70">
        <f t="shared" si="22"/>
        <v>41833.916666666664</v>
      </c>
      <c r="AP37" s="47">
        <f t="shared" si="23"/>
        <v>41834.208333333336</v>
      </c>
      <c r="AQ37" s="48">
        <f t="shared" si="34"/>
        <v>41833</v>
      </c>
      <c r="AR37" s="49">
        <f t="shared" si="11"/>
        <v>41834</v>
      </c>
      <c r="AS37" s="49">
        <f t="shared" si="35"/>
        <v>1</v>
      </c>
      <c r="AT37" s="50">
        <f t="shared" si="36"/>
        <v>1</v>
      </c>
      <c r="AU37" s="48">
        <f t="shared" si="13"/>
        <v>0.20833333333575865</v>
      </c>
      <c r="AV37" s="49">
        <f t="shared" si="37"/>
        <v>8.3333333335758653E-2</v>
      </c>
      <c r="AW37" s="50">
        <f t="shared" si="15"/>
        <v>0.29166666667151731</v>
      </c>
      <c r="AX37" s="48">
        <f t="shared" si="16"/>
        <v>41833.208333333336</v>
      </c>
      <c r="AY37" s="49">
        <f t="shared" si="24"/>
        <v>41834</v>
      </c>
      <c r="AZ37" s="50">
        <f t="shared" si="17"/>
        <v>0.79166666666424135</v>
      </c>
      <c r="BA37" s="12" t="b">
        <f t="shared" si="25"/>
        <v>1</v>
      </c>
      <c r="BB37" s="8" t="b">
        <f t="shared" si="26"/>
        <v>0</v>
      </c>
      <c r="BC37" s="51" t="b">
        <f t="shared" si="27"/>
        <v>0</v>
      </c>
      <c r="BD37" s="12">
        <f t="shared" si="28"/>
        <v>0</v>
      </c>
      <c r="BE37" s="8">
        <f t="shared" si="29"/>
        <v>0</v>
      </c>
      <c r="BF37" s="12">
        <f t="shared" si="30"/>
        <v>0</v>
      </c>
      <c r="BG37" s="51">
        <f t="shared" si="31"/>
        <v>0</v>
      </c>
      <c r="BH37" s="13">
        <f t="shared" si="32"/>
        <v>0</v>
      </c>
    </row>
    <row r="38" spans="1:60" ht="33" customHeight="1" x14ac:dyDescent="0.15">
      <c r="B38" s="130">
        <f>B37+1</f>
        <v>41834</v>
      </c>
      <c r="C38" s="131"/>
      <c r="D38" s="39" t="str">
        <f t="shared" si="18"/>
        <v>月</v>
      </c>
      <c r="E38" s="132"/>
      <c r="F38" s="133"/>
      <c r="G38" s="134"/>
      <c r="H38" s="135"/>
      <c r="I38" s="76"/>
      <c r="J38" s="77"/>
      <c r="K38" s="76"/>
      <c r="L38" s="77"/>
      <c r="M38" s="42" t="str">
        <f t="shared" si="1"/>
        <v/>
      </c>
      <c r="N38" s="43" t="str">
        <f t="shared" si="2"/>
        <v/>
      </c>
      <c r="O38" s="76"/>
      <c r="P38" s="77"/>
      <c r="Q38" s="42" t="str">
        <f>IF(OR(M38="",N38=""),"",HOUR(AT38)+DAY(AT38)*24)</f>
        <v/>
      </c>
      <c r="R38" s="43" t="str">
        <f>IF(OR(M38="",N38=""),"",MINUTE(AT38))</f>
        <v/>
      </c>
      <c r="S38" s="42"/>
      <c r="T38" s="43" t="str">
        <f t="shared" si="19"/>
        <v/>
      </c>
      <c r="U38" s="42" t="str">
        <f t="shared" si="5"/>
        <v/>
      </c>
      <c r="V38" s="43" t="str">
        <f t="shared" si="6"/>
        <v/>
      </c>
      <c r="W38" s="42" t="str">
        <f t="shared" si="7"/>
        <v/>
      </c>
      <c r="X38" s="43" t="str">
        <f t="shared" si="8"/>
        <v/>
      </c>
      <c r="Y38" s="42" t="str">
        <f t="shared" si="9"/>
        <v/>
      </c>
      <c r="Z38" s="43" t="str">
        <f t="shared" si="10"/>
        <v/>
      </c>
      <c r="AA38" s="136"/>
      <c r="AB38" s="136"/>
      <c r="AC38" s="136"/>
      <c r="AD38" s="136"/>
      <c r="AE38" s="137"/>
      <c r="AF38" s="29"/>
      <c r="AG38" s="29"/>
      <c r="AH38" s="29"/>
      <c r="AI38" s="29"/>
      <c r="AJ38" s="29"/>
      <c r="AK38" s="29"/>
      <c r="AL38" s="44"/>
      <c r="AM38" s="45" t="b">
        <f>IF(OR(DAY(B38)&gt;15, I38="",J38="",K38="",L38=""),FALSE,TRUE)</f>
        <v>0</v>
      </c>
      <c r="AN38" s="46">
        <f t="shared" si="21"/>
        <v>41834.208333333336</v>
      </c>
      <c r="AO38" s="70">
        <f t="shared" si="22"/>
        <v>41834.916666666664</v>
      </c>
      <c r="AP38" s="47">
        <f t="shared" si="23"/>
        <v>41835.208333333336</v>
      </c>
      <c r="AQ38" s="48">
        <f t="shared" si="34"/>
        <v>41834</v>
      </c>
      <c r="AR38" s="49">
        <f t="shared" si="11"/>
        <v>41835</v>
      </c>
      <c r="AS38" s="49">
        <f t="shared" si="35"/>
        <v>1</v>
      </c>
      <c r="AT38" s="50">
        <f t="shared" si="36"/>
        <v>1</v>
      </c>
      <c r="AU38" s="48">
        <f t="shared" si="13"/>
        <v>0.20833333333575865</v>
      </c>
      <c r="AV38" s="49">
        <f t="shared" si="37"/>
        <v>8.3333333335758653E-2</v>
      </c>
      <c r="AW38" s="50">
        <f t="shared" si="15"/>
        <v>0.29166666667151731</v>
      </c>
      <c r="AX38" s="48">
        <f t="shared" si="16"/>
        <v>41834.208333333336</v>
      </c>
      <c r="AY38" s="49">
        <f t="shared" si="24"/>
        <v>41835</v>
      </c>
      <c r="AZ38" s="50">
        <f t="shared" si="17"/>
        <v>0.79166666666424135</v>
      </c>
      <c r="BA38" s="12" t="b">
        <f t="shared" si="25"/>
        <v>1</v>
      </c>
      <c r="BB38" s="8" t="b">
        <f t="shared" si="26"/>
        <v>0</v>
      </c>
      <c r="BC38" s="51" t="b">
        <f t="shared" si="27"/>
        <v>0</v>
      </c>
      <c r="BD38" s="12">
        <f t="shared" si="28"/>
        <v>0</v>
      </c>
      <c r="BE38" s="8">
        <f t="shared" si="29"/>
        <v>0</v>
      </c>
      <c r="BF38" s="12">
        <f t="shared" si="30"/>
        <v>0</v>
      </c>
      <c r="BG38" s="51">
        <f t="shared" si="31"/>
        <v>0</v>
      </c>
      <c r="BH38" s="13">
        <f t="shared" si="32"/>
        <v>0</v>
      </c>
    </row>
    <row r="39" spans="1:60" ht="33" customHeight="1" x14ac:dyDescent="0.15">
      <c r="B39" s="130">
        <f>B38+1</f>
        <v>41835</v>
      </c>
      <c r="C39" s="131"/>
      <c r="D39" s="39" t="str">
        <f t="shared" si="18"/>
        <v>火</v>
      </c>
      <c r="E39" s="132"/>
      <c r="F39" s="133"/>
      <c r="G39" s="134"/>
      <c r="H39" s="135"/>
      <c r="I39" s="40"/>
      <c r="J39" s="41"/>
      <c r="K39" s="40"/>
      <c r="L39" s="41"/>
      <c r="M39" s="42" t="str">
        <f t="shared" si="1"/>
        <v/>
      </c>
      <c r="N39" s="43" t="str">
        <f t="shared" si="2"/>
        <v/>
      </c>
      <c r="O39" s="40"/>
      <c r="P39" s="41"/>
      <c r="Q39" s="42" t="str">
        <f>IF(OR(M39="",N39=""),"",HOUR(AT39)+DAY(AT39)*24)</f>
        <v/>
      </c>
      <c r="R39" s="43" t="str">
        <f>IF(OR(M39="",N39=""),"",MINUTE(AT39))</f>
        <v/>
      </c>
      <c r="S39" s="42"/>
      <c r="T39" s="43" t="str">
        <f t="shared" si="19"/>
        <v/>
      </c>
      <c r="U39" s="42" t="str">
        <f t="shared" si="5"/>
        <v/>
      </c>
      <c r="V39" s="43" t="str">
        <f t="shared" si="6"/>
        <v/>
      </c>
      <c r="W39" s="42" t="str">
        <f t="shared" si="7"/>
        <v/>
      </c>
      <c r="X39" s="43" t="str">
        <f t="shared" si="8"/>
        <v/>
      </c>
      <c r="Y39" s="42" t="str">
        <f t="shared" si="9"/>
        <v/>
      </c>
      <c r="Z39" s="43" t="str">
        <f t="shared" si="10"/>
        <v/>
      </c>
      <c r="AA39" s="136"/>
      <c r="AB39" s="136"/>
      <c r="AC39" s="136"/>
      <c r="AD39" s="136"/>
      <c r="AE39" s="137"/>
      <c r="AF39" s="29"/>
      <c r="AG39" s="29"/>
      <c r="AH39" s="29"/>
      <c r="AI39" s="29"/>
      <c r="AJ39" s="29"/>
      <c r="AK39" s="29"/>
      <c r="AL39" s="44"/>
      <c r="AM39" s="45" t="b">
        <f>IF(OR(DAY(B39)&gt;15, I39="",J39="",K39="",L39=""),FALSE,TRUE)</f>
        <v>0</v>
      </c>
      <c r="AN39" s="46">
        <f t="shared" si="21"/>
        <v>41835.208333333336</v>
      </c>
      <c r="AO39" s="70">
        <f t="shared" si="22"/>
        <v>41835.916666666664</v>
      </c>
      <c r="AP39" s="47">
        <f t="shared" si="23"/>
        <v>41836.208333333336</v>
      </c>
      <c r="AQ39" s="48">
        <f t="shared" si="34"/>
        <v>41835</v>
      </c>
      <c r="AR39" s="49">
        <f t="shared" si="11"/>
        <v>41836</v>
      </c>
      <c r="AS39" s="49">
        <f t="shared" si="35"/>
        <v>1</v>
      </c>
      <c r="AT39" s="50">
        <f t="shared" si="36"/>
        <v>1</v>
      </c>
      <c r="AU39" s="48">
        <f t="shared" si="13"/>
        <v>0.20833333333575865</v>
      </c>
      <c r="AV39" s="49">
        <f t="shared" si="37"/>
        <v>8.3333333335758653E-2</v>
      </c>
      <c r="AW39" s="50">
        <f t="shared" si="15"/>
        <v>0.29166666667151731</v>
      </c>
      <c r="AX39" s="48">
        <f t="shared" si="16"/>
        <v>41835.208333333336</v>
      </c>
      <c r="AY39" s="49">
        <f t="shared" si="24"/>
        <v>41836</v>
      </c>
      <c r="AZ39" s="50">
        <f t="shared" si="17"/>
        <v>0.79166666666424135</v>
      </c>
      <c r="BA39" s="12" t="b">
        <f t="shared" si="25"/>
        <v>1</v>
      </c>
      <c r="BB39" s="8" t="b">
        <f t="shared" si="26"/>
        <v>0</v>
      </c>
      <c r="BC39" s="51" t="b">
        <f t="shared" si="27"/>
        <v>0</v>
      </c>
      <c r="BD39" s="12">
        <f t="shared" si="28"/>
        <v>0</v>
      </c>
      <c r="BE39" s="8">
        <f t="shared" si="29"/>
        <v>0</v>
      </c>
      <c r="BF39" s="12">
        <f t="shared" si="30"/>
        <v>0</v>
      </c>
      <c r="BG39" s="51">
        <f t="shared" si="31"/>
        <v>0</v>
      </c>
      <c r="BH39" s="13">
        <f t="shared" si="32"/>
        <v>0</v>
      </c>
    </row>
    <row r="40" spans="1:60" ht="33" customHeight="1" thickBot="1" x14ac:dyDescent="0.2">
      <c r="B40" s="141">
        <f>B39+1</f>
        <v>41836</v>
      </c>
      <c r="C40" s="142"/>
      <c r="D40" s="78" t="str">
        <f t="shared" si="18"/>
        <v>水</v>
      </c>
      <c r="E40" s="143"/>
      <c r="F40" s="144"/>
      <c r="G40" s="145"/>
      <c r="H40" s="146"/>
      <c r="I40" s="52"/>
      <c r="J40" s="53"/>
      <c r="K40" s="40"/>
      <c r="L40" s="41"/>
      <c r="M40" s="54" t="str">
        <f t="shared" si="1"/>
        <v/>
      </c>
      <c r="N40" s="55" t="str">
        <f t="shared" si="2"/>
        <v/>
      </c>
      <c r="O40" s="52"/>
      <c r="P40" s="53"/>
      <c r="Q40" s="54" t="str">
        <f>IF(OR(M40="",N40=""),"",HOUR(AT40)+DAY(AT40)*24)</f>
        <v/>
      </c>
      <c r="R40" s="55" t="str">
        <f>IF(OR(M40="",N40=""),"",MINUTE(AT40))</f>
        <v/>
      </c>
      <c r="S40" s="54"/>
      <c r="T40" s="55" t="str">
        <f t="shared" si="19"/>
        <v/>
      </c>
      <c r="U40" s="54" t="str">
        <f>IF(AND(WEEKDAY(B40)&lt;&gt;1,AM40,AW40&gt;0),HOUR(AW40),"")</f>
        <v/>
      </c>
      <c r="V40" s="55" t="str">
        <f t="shared" si="6"/>
        <v/>
      </c>
      <c r="W40" s="54" t="str">
        <f t="shared" si="7"/>
        <v/>
      </c>
      <c r="X40" s="55" t="str">
        <f t="shared" si="8"/>
        <v/>
      </c>
      <c r="Y40" s="54" t="str">
        <f t="shared" si="9"/>
        <v/>
      </c>
      <c r="Z40" s="55" t="str">
        <f t="shared" si="10"/>
        <v/>
      </c>
      <c r="AA40" s="147"/>
      <c r="AB40" s="147"/>
      <c r="AC40" s="147"/>
      <c r="AD40" s="147"/>
      <c r="AE40" s="148"/>
      <c r="AF40" s="29"/>
      <c r="AG40" s="29"/>
      <c r="AH40" s="8"/>
      <c r="AI40" s="29"/>
      <c r="AJ40" s="29"/>
      <c r="AK40" s="29"/>
      <c r="AL40" s="44"/>
      <c r="AM40" s="56" t="b">
        <f>IF(OR(DAY(B40)&gt;15, I40="",J40="",K40="",L40=""),FALSE,TRUE)</f>
        <v>0</v>
      </c>
      <c r="AN40" s="57">
        <f t="shared" si="21"/>
        <v>41836.208333333336</v>
      </c>
      <c r="AO40" s="71">
        <f t="shared" si="22"/>
        <v>41836.916666666664</v>
      </c>
      <c r="AP40" s="58">
        <f t="shared" si="23"/>
        <v>41837.208333333336</v>
      </c>
      <c r="AQ40" s="59">
        <f t="shared" si="34"/>
        <v>41836</v>
      </c>
      <c r="AR40" s="60">
        <f t="shared" si="11"/>
        <v>41837</v>
      </c>
      <c r="AS40" s="60">
        <f t="shared" si="35"/>
        <v>1</v>
      </c>
      <c r="AT40" s="61">
        <f t="shared" si="36"/>
        <v>1</v>
      </c>
      <c r="AU40" s="59">
        <f t="shared" si="13"/>
        <v>0.20833333333575865</v>
      </c>
      <c r="AV40" s="60">
        <f t="shared" si="37"/>
        <v>8.3333333335758653E-2</v>
      </c>
      <c r="AW40" s="61">
        <f t="shared" si="15"/>
        <v>0.29166666667151731</v>
      </c>
      <c r="AX40" s="59">
        <f t="shared" si="16"/>
        <v>41836.208333333336</v>
      </c>
      <c r="AY40" s="60">
        <f t="shared" si="24"/>
        <v>41837</v>
      </c>
      <c r="AZ40" s="61">
        <f t="shared" si="17"/>
        <v>0.79166666666424135</v>
      </c>
      <c r="BA40" s="19" t="b">
        <f t="shared" si="25"/>
        <v>1</v>
      </c>
      <c r="BB40" s="62" t="b">
        <f t="shared" si="26"/>
        <v>0</v>
      </c>
      <c r="BC40" s="63" t="b">
        <f t="shared" si="27"/>
        <v>0</v>
      </c>
      <c r="BD40" s="19">
        <f t="shared" si="28"/>
        <v>0</v>
      </c>
      <c r="BE40" s="62">
        <f t="shared" si="29"/>
        <v>0</v>
      </c>
      <c r="BF40" s="19">
        <f t="shared" si="30"/>
        <v>0</v>
      </c>
      <c r="BG40" s="63">
        <f t="shared" si="31"/>
        <v>0</v>
      </c>
      <c r="BH40" s="17">
        <f t="shared" si="32"/>
        <v>0</v>
      </c>
    </row>
    <row r="41" spans="1:60" s="68" customFormat="1" ht="33" customHeight="1" thickTop="1" thickBot="1" x14ac:dyDescent="0.2">
      <c r="A41" s="1"/>
      <c r="B41" s="138" t="s">
        <v>27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40"/>
      <c r="Q41" s="64">
        <f>SUM(Q10:Q40)+ROUNDDOWN(SUM(R10:R40)/60,0)</f>
        <v>0</v>
      </c>
      <c r="R41" s="65">
        <f>MOD(SUM(R10:R40),60)</f>
        <v>0</v>
      </c>
      <c r="S41" s="64">
        <f>Q41+SUM(BH:BH)</f>
        <v>0</v>
      </c>
      <c r="T41" s="65">
        <f>R41</f>
        <v>0</v>
      </c>
      <c r="U41" s="64">
        <f>SUM(U10:U40)+ROUNDDOWN(SUM(V10:V40)/60,0)</f>
        <v>0</v>
      </c>
      <c r="V41" s="65">
        <f>MOD(SUM(V10:V40),60)</f>
        <v>0</v>
      </c>
      <c r="W41" s="64">
        <f>SUM(W10:W40)+ROUNDDOWN(SUM(X10:X40)/60,0)</f>
        <v>0</v>
      </c>
      <c r="X41" s="65">
        <f>MOD(SUM(X10:X40),60)</f>
        <v>0</v>
      </c>
      <c r="Y41" s="64">
        <f>SUM(Y10:Y40)+ROUNDDOWN(SUM(Z10:Z40)/60,0)</f>
        <v>0</v>
      </c>
      <c r="Z41" s="65">
        <f>MOD(SUM(Z10:Z40),60)</f>
        <v>0</v>
      </c>
      <c r="AA41" s="66"/>
      <c r="AB41" s="66"/>
      <c r="AC41" s="66"/>
      <c r="AD41" s="66"/>
      <c r="AE41" s="67"/>
      <c r="AF41" s="8"/>
      <c r="AG41" s="8"/>
      <c r="AH41" s="1"/>
      <c r="AI41" s="29"/>
      <c r="AJ41" s="29"/>
      <c r="AK41" s="1"/>
      <c r="AL41" s="2"/>
      <c r="AO41" s="44"/>
      <c r="AP41" s="44"/>
    </row>
    <row r="42" spans="1:60" ht="24.95" customHeight="1" x14ac:dyDescent="0.15">
      <c r="AI42" s="8"/>
      <c r="AJ42" s="8"/>
    </row>
    <row r="43" spans="1:60" ht="24.95" customHeight="1" x14ac:dyDescent="0.15">
      <c r="AI43" s="8"/>
      <c r="AJ43" s="8"/>
    </row>
    <row r="44" spans="1:60" ht="24.95" customHeight="1" x14ac:dyDescent="0.15">
      <c r="B44" s="1" t="s">
        <v>28</v>
      </c>
      <c r="C44" s="1" t="s">
        <v>29</v>
      </c>
      <c r="D44" s="1" t="s">
        <v>30</v>
      </c>
    </row>
    <row r="45" spans="1:60" ht="24.95" customHeight="1" x14ac:dyDescent="0.15">
      <c r="D45" s="1" t="s">
        <v>31</v>
      </c>
      <c r="O45" s="1" t="s">
        <v>32</v>
      </c>
      <c r="AI45" s="2"/>
      <c r="AL45" s="1"/>
    </row>
    <row r="46" spans="1:60" ht="24.95" customHeight="1" x14ac:dyDescent="0.15">
      <c r="D46" s="1" t="s">
        <v>33</v>
      </c>
    </row>
    <row r="47" spans="1:60" ht="24.95" customHeight="1" x14ac:dyDescent="0.15">
      <c r="D47" s="1" t="s">
        <v>34</v>
      </c>
    </row>
    <row r="49" spans="2:4" ht="24.95" customHeight="1" x14ac:dyDescent="0.15">
      <c r="C49" s="1" t="s">
        <v>35</v>
      </c>
      <c r="D49" s="1" t="s">
        <v>36</v>
      </c>
    </row>
    <row r="50" spans="2:4" ht="24.95" customHeight="1" x14ac:dyDescent="0.15">
      <c r="C50" s="1" t="s">
        <v>37</v>
      </c>
      <c r="D50" s="1" t="s">
        <v>38</v>
      </c>
    </row>
    <row r="52" spans="2:4" ht="24.95" customHeight="1" x14ac:dyDescent="0.15">
      <c r="B52" s="1" t="s">
        <v>39</v>
      </c>
    </row>
  </sheetData>
  <protectedRanges>
    <protectedRange sqref="AA10:AE40" name="備考"/>
    <protectedRange sqref="S10:S40" name="有休時間"/>
    <protectedRange sqref="O10:P40" name="休憩時間"/>
    <protectedRange sqref="I10:L40" name="就業時間"/>
    <protectedRange sqref="G10:H40" name="休出選択"/>
    <protectedRange sqref="E10:F40" name="休暇選択"/>
    <protectedRange sqref="G3:T6" name="氏名"/>
    <protectedRange sqref="H2:I2 K2" name="年月"/>
  </protectedRanges>
  <mergeCells count="166">
    <mergeCell ref="B41:P41"/>
    <mergeCell ref="B39:C39"/>
    <mergeCell ref="E39:F39"/>
    <mergeCell ref="G39:H39"/>
    <mergeCell ref="AA39:AE39"/>
    <mergeCell ref="B40:C40"/>
    <mergeCell ref="E40:F40"/>
    <mergeCell ref="G40:H40"/>
    <mergeCell ref="AA40:AE40"/>
    <mergeCell ref="B37:C37"/>
    <mergeCell ref="E37:F37"/>
    <mergeCell ref="G37:H37"/>
    <mergeCell ref="AA37:AE37"/>
    <mergeCell ref="B38:C38"/>
    <mergeCell ref="E38:F38"/>
    <mergeCell ref="G38:H38"/>
    <mergeCell ref="AA38:AE38"/>
    <mergeCell ref="B35:C35"/>
    <mergeCell ref="E35:F35"/>
    <mergeCell ref="G35:H35"/>
    <mergeCell ref="AA35:AE35"/>
    <mergeCell ref="B36:C36"/>
    <mergeCell ref="E36:F36"/>
    <mergeCell ref="G36:H36"/>
    <mergeCell ref="AA36:AE36"/>
    <mergeCell ref="B33:C33"/>
    <mergeCell ref="E33:F33"/>
    <mergeCell ref="G33:H33"/>
    <mergeCell ref="AA33:AE33"/>
    <mergeCell ref="B34:C34"/>
    <mergeCell ref="E34:F34"/>
    <mergeCell ref="G34:H34"/>
    <mergeCell ref="AA34:AE34"/>
    <mergeCell ref="B31:C31"/>
    <mergeCell ref="E31:F31"/>
    <mergeCell ref="G31:H31"/>
    <mergeCell ref="AA31:AE31"/>
    <mergeCell ref="B32:C32"/>
    <mergeCell ref="E32:F32"/>
    <mergeCell ref="G32:H32"/>
    <mergeCell ref="AA32:AE32"/>
    <mergeCell ref="B29:C29"/>
    <mergeCell ref="E29:F29"/>
    <mergeCell ref="G29:H29"/>
    <mergeCell ref="AA29:AE29"/>
    <mergeCell ref="B30:C30"/>
    <mergeCell ref="E30:F30"/>
    <mergeCell ref="G30:H30"/>
    <mergeCell ref="AA30:AE30"/>
    <mergeCell ref="B27:C27"/>
    <mergeCell ref="E27:F27"/>
    <mergeCell ref="G27:H27"/>
    <mergeCell ref="AA27:AE27"/>
    <mergeCell ref="B28:C28"/>
    <mergeCell ref="E28:F28"/>
    <mergeCell ref="G28:H28"/>
    <mergeCell ref="AA28:AE28"/>
    <mergeCell ref="B25:C25"/>
    <mergeCell ref="E25:F25"/>
    <mergeCell ref="G25:H25"/>
    <mergeCell ref="AA25:AE25"/>
    <mergeCell ref="B26:C26"/>
    <mergeCell ref="E26:F26"/>
    <mergeCell ref="G26:H26"/>
    <mergeCell ref="AA26:AE26"/>
    <mergeCell ref="B23:C23"/>
    <mergeCell ref="E23:F23"/>
    <mergeCell ref="G23:H23"/>
    <mergeCell ref="AA23:AE23"/>
    <mergeCell ref="B24:C24"/>
    <mergeCell ref="E24:F24"/>
    <mergeCell ref="G24:H24"/>
    <mergeCell ref="AA24:AE24"/>
    <mergeCell ref="B21:C21"/>
    <mergeCell ref="E21:F21"/>
    <mergeCell ref="G21:H21"/>
    <mergeCell ref="AA21:AE21"/>
    <mergeCell ref="B22:C22"/>
    <mergeCell ref="E22:F22"/>
    <mergeCell ref="G22:H22"/>
    <mergeCell ref="AA22:AE22"/>
    <mergeCell ref="B19:C19"/>
    <mergeCell ref="E19:F19"/>
    <mergeCell ref="G19:H19"/>
    <mergeCell ref="AA19:AE19"/>
    <mergeCell ref="B20:C20"/>
    <mergeCell ref="E20:F20"/>
    <mergeCell ref="G20:H20"/>
    <mergeCell ref="AA20:AE20"/>
    <mergeCell ref="B17:C17"/>
    <mergeCell ref="E17:F17"/>
    <mergeCell ref="G17:H17"/>
    <mergeCell ref="AA17:AE17"/>
    <mergeCell ref="B18:C18"/>
    <mergeCell ref="E18:F18"/>
    <mergeCell ref="G18:H18"/>
    <mergeCell ref="AA18:AE18"/>
    <mergeCell ref="B15:C15"/>
    <mergeCell ref="E15:F15"/>
    <mergeCell ref="G15:H15"/>
    <mergeCell ref="AA15:AE15"/>
    <mergeCell ref="B16:C16"/>
    <mergeCell ref="E16:F16"/>
    <mergeCell ref="G16:H16"/>
    <mergeCell ref="AA16:AE16"/>
    <mergeCell ref="B10:C10"/>
    <mergeCell ref="E10:F10"/>
    <mergeCell ref="G10:H10"/>
    <mergeCell ref="AA10:AE10"/>
    <mergeCell ref="B13:C13"/>
    <mergeCell ref="E13:F13"/>
    <mergeCell ref="G13:H13"/>
    <mergeCell ref="AA13:AE13"/>
    <mergeCell ref="B14:C14"/>
    <mergeCell ref="E14:F14"/>
    <mergeCell ref="G14:H14"/>
    <mergeCell ref="AA14:AE14"/>
    <mergeCell ref="B11:C11"/>
    <mergeCell ref="E11:F11"/>
    <mergeCell ref="G11:H11"/>
    <mergeCell ref="AA11:AE11"/>
    <mergeCell ref="B12:C12"/>
    <mergeCell ref="E12:F12"/>
    <mergeCell ref="G12:H12"/>
    <mergeCell ref="AA12:AE12"/>
    <mergeCell ref="AB7:AC7"/>
    <mergeCell ref="AD7:AE7"/>
    <mergeCell ref="B9:D9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E9"/>
    <mergeCell ref="AB5:AC5"/>
    <mergeCell ref="AD5:AE5"/>
    <mergeCell ref="B6:F6"/>
    <mergeCell ref="G6:T6"/>
    <mergeCell ref="AB6:AC6"/>
    <mergeCell ref="AD6:AE6"/>
    <mergeCell ref="X5:Y5"/>
    <mergeCell ref="Z5:AA5"/>
    <mergeCell ref="X6:Y6"/>
    <mergeCell ref="Z6:AA6"/>
    <mergeCell ref="B5:F5"/>
    <mergeCell ref="G5:T5"/>
    <mergeCell ref="H2:I2"/>
    <mergeCell ref="L2:M2"/>
    <mergeCell ref="B3:F3"/>
    <mergeCell ref="G3:T3"/>
    <mergeCell ref="X3:Y3"/>
    <mergeCell ref="Z3:AA3"/>
    <mergeCell ref="AB3:AC3"/>
    <mergeCell ref="AD3:AE3"/>
    <mergeCell ref="B4:F4"/>
    <mergeCell ref="G4:T4"/>
    <mergeCell ref="X4:Y4"/>
    <mergeCell ref="Z4:AA4"/>
    <mergeCell ref="AB4:AC4"/>
    <mergeCell ref="AD4:AE4"/>
  </mergeCells>
  <phoneticPr fontId="1"/>
  <conditionalFormatting sqref="B10:AE40">
    <cfRule type="expression" dxfId="103" priority="3">
      <formula>$BC10</formula>
    </cfRule>
    <cfRule type="expression" dxfId="102" priority="4">
      <formula>OR($D10="土",$D10="日")</formula>
    </cfRule>
  </conditionalFormatting>
  <conditionalFormatting sqref="B38:AE40">
    <cfRule type="expression" dxfId="101" priority="1">
      <formula>OR(DAY($B38)&gt;$AN$2,MONTH($B$38)&gt;$K$2)</formula>
    </cfRule>
  </conditionalFormatting>
  <dataValidations count="8">
    <dataValidation type="list" allowBlank="1" showInputMessage="1" showErrorMessage="1" sqref="G10:G40 H10">
      <formula1>$AK$2:$AK$4</formula1>
    </dataValidation>
    <dataValidation type="list" allowBlank="1" showInputMessage="1" showErrorMessage="1" sqref="G3">
      <formula1>$AH$2:$AH$4</formula1>
    </dataValidation>
    <dataValidation type="list" allowBlank="1" showInputMessage="1" showErrorMessage="1" error="0分から50分までを10分単位で入力してください。" sqref="J10:J40 L10:L40 P10:P40">
      <formula1>"00,10,20,30,40,50"</formula1>
    </dataValidation>
    <dataValidation type="list" allowBlank="1" showInputMessage="1" showErrorMessage="1" sqref="E10:F40">
      <formula1>$AI$2:$AI$9</formula1>
    </dataValidation>
    <dataValidation type="whole" allowBlank="1" showInputMessage="1" showErrorMessage="1" sqref="S10:S40">
      <formula1>1</formula1>
      <formula2>8</formula2>
    </dataValidation>
    <dataValidation type="whole" allowBlank="1" showInputMessage="1" showErrorMessage="1" sqref="I10:I40 K10:K40">
      <formula1>0</formula1>
      <formula2>30</formula2>
    </dataValidation>
    <dataValidation type="whole" allowBlank="1" showInputMessage="1" showErrorMessage="1" sqref="O10:O40">
      <formula1>0</formula1>
      <formula2>8</formula2>
    </dataValidation>
    <dataValidation type="whole" allowBlank="1" showInputMessage="1" showErrorMessage="1" sqref="K2">
      <formula1>1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8" orientation="portrait" r:id="rId1"/>
  <colBreaks count="1" manualBreakCount="1">
    <brk id="36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H52"/>
  <sheetViews>
    <sheetView zoomScale="30" zoomScaleNormal="30" zoomScaleSheetLayoutView="70" workbookViewId="0"/>
  </sheetViews>
  <sheetFormatPr defaultColWidth="5.125" defaultRowHeight="24.95" customHeight="1" x14ac:dyDescent="0.15"/>
  <cols>
    <col min="1" max="1" width="5.125" style="1" customWidth="1"/>
    <col min="2" max="31" width="5.625" style="1" customWidth="1"/>
    <col min="32" max="33" width="5.125" style="1" customWidth="1"/>
    <col min="34" max="37" width="5.125" style="1" hidden="1" customWidth="1"/>
    <col min="38" max="38" width="5.125" style="2" hidden="1" customWidth="1"/>
    <col min="39" max="39" width="7.75" style="1" hidden="1" customWidth="1"/>
    <col min="40" max="40" width="16.875" style="1" hidden="1" customWidth="1"/>
    <col min="41" max="44" width="18.125" style="1" hidden="1" customWidth="1"/>
    <col min="45" max="46" width="16.875" style="1" hidden="1" customWidth="1"/>
    <col min="47" max="49" width="15.625" style="1" hidden="1" customWidth="1"/>
    <col min="50" max="51" width="18.125" style="1" hidden="1" customWidth="1"/>
    <col min="52" max="52" width="16.875" style="1" hidden="1" customWidth="1"/>
    <col min="53" max="55" width="7.75" style="1" hidden="1" customWidth="1"/>
    <col min="56" max="57" width="5.625" style="1" hidden="1" customWidth="1"/>
    <col min="58" max="58" width="5.125" style="1" hidden="1" customWidth="1"/>
    <col min="59" max="60" width="0" style="1" hidden="1" customWidth="1"/>
    <col min="61" max="16384" width="5.125" style="1"/>
  </cols>
  <sheetData>
    <row r="1" spans="2:60" ht="24.95" customHeight="1" thickBot="1" x14ac:dyDescent="0.2">
      <c r="AL1" s="1"/>
      <c r="AQ1" s="2"/>
    </row>
    <row r="2" spans="2:60" ht="30" customHeight="1" thickBot="1" x14ac:dyDescent="0.2">
      <c r="B2" s="3"/>
      <c r="C2" s="4"/>
      <c r="D2" s="4"/>
      <c r="E2" s="4"/>
      <c r="F2" s="5"/>
      <c r="G2" s="5"/>
      <c r="H2" s="79">
        <v>2012</v>
      </c>
      <c r="I2" s="79"/>
      <c r="J2" s="4" t="s">
        <v>0</v>
      </c>
      <c r="K2" s="6">
        <v>5</v>
      </c>
      <c r="L2" s="80" t="s">
        <v>1</v>
      </c>
      <c r="M2" s="81"/>
      <c r="N2" s="4"/>
      <c r="O2" s="4"/>
      <c r="P2" s="4"/>
      <c r="Q2" s="4"/>
      <c r="R2" s="4"/>
      <c r="S2" s="4"/>
      <c r="T2" s="7"/>
      <c r="X2" s="8"/>
      <c r="Y2" s="8"/>
      <c r="Z2" s="8"/>
      <c r="AA2" s="8"/>
      <c r="AB2" s="8"/>
      <c r="AC2" s="8"/>
      <c r="AD2" s="8"/>
      <c r="AE2" s="8"/>
      <c r="AF2" s="8"/>
      <c r="AG2" s="8"/>
      <c r="AH2" s="9" t="s">
        <v>40</v>
      </c>
      <c r="AI2" s="10" t="s">
        <v>2</v>
      </c>
      <c r="AJ2" s="10">
        <f t="shared" ref="AJ2:AJ9" si="0">COUNTIF($E$10:$F$40,AI2)</f>
        <v>1</v>
      </c>
      <c r="AK2" s="10" t="s">
        <v>3</v>
      </c>
      <c r="AL2" s="11">
        <f>COUNTIF($G$10:$H$40,AK2)</f>
        <v>0</v>
      </c>
    </row>
    <row r="3" spans="2:60" ht="30" customHeight="1" thickBot="1" x14ac:dyDescent="0.2">
      <c r="B3" s="82" t="s">
        <v>4</v>
      </c>
      <c r="C3" s="83"/>
      <c r="D3" s="83"/>
      <c r="E3" s="83"/>
      <c r="F3" s="84"/>
      <c r="G3" s="85" t="s">
        <v>40</v>
      </c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7"/>
      <c r="X3" s="88" t="s">
        <v>5</v>
      </c>
      <c r="Y3" s="89"/>
      <c r="Z3" s="90">
        <f>31-COUNTBLANK(Q10:Q40)</f>
        <v>7</v>
      </c>
      <c r="AA3" s="91"/>
      <c r="AB3" s="88" t="s">
        <v>44</v>
      </c>
      <c r="AC3" s="92"/>
      <c r="AD3" s="93">
        <f>AJ6+(AJ7*0.5)</f>
        <v>0</v>
      </c>
      <c r="AE3" s="94"/>
      <c r="AH3" s="12" t="s">
        <v>41</v>
      </c>
      <c r="AI3" s="13" t="s">
        <v>43</v>
      </c>
      <c r="AJ3" s="13">
        <f t="shared" si="0"/>
        <v>2</v>
      </c>
      <c r="AK3" s="13" t="s">
        <v>6</v>
      </c>
      <c r="AL3" s="14">
        <f>COUNTIF($G$10:$H$40,AK3)</f>
        <v>1</v>
      </c>
    </row>
    <row r="4" spans="2:60" ht="30" customHeight="1" thickBot="1" x14ac:dyDescent="0.2">
      <c r="B4" s="95" t="s">
        <v>7</v>
      </c>
      <c r="C4" s="96"/>
      <c r="D4" s="96"/>
      <c r="E4" s="96"/>
      <c r="F4" s="97"/>
      <c r="G4" s="149" t="s">
        <v>49</v>
      </c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100"/>
      <c r="V4" s="15"/>
      <c r="W4" s="15"/>
      <c r="X4" s="101" t="s">
        <v>8</v>
      </c>
      <c r="Y4" s="92"/>
      <c r="Z4" s="93">
        <f>AL3+(AL4*0.5)</f>
        <v>1</v>
      </c>
      <c r="AA4" s="94"/>
      <c r="AB4" s="88" t="s">
        <v>45</v>
      </c>
      <c r="AC4" s="92"/>
      <c r="AD4" s="93">
        <f>AJ6+(AJ7*0.5)</f>
        <v>0</v>
      </c>
      <c r="AE4" s="94"/>
      <c r="AF4" s="16"/>
      <c r="AG4" s="8"/>
      <c r="AH4" s="19" t="s">
        <v>11</v>
      </c>
      <c r="AI4" s="13" t="s">
        <v>10</v>
      </c>
      <c r="AJ4" s="13">
        <f t="shared" si="0"/>
        <v>0</v>
      </c>
      <c r="AK4" s="17" t="s">
        <v>47</v>
      </c>
      <c r="AL4" s="18">
        <f>COUNTIF($G$10:$H$40,AK4)</f>
        <v>0</v>
      </c>
    </row>
    <row r="5" spans="2:60" ht="30" customHeight="1" thickBot="1" x14ac:dyDescent="0.2">
      <c r="B5" s="95" t="s">
        <v>9</v>
      </c>
      <c r="C5" s="96"/>
      <c r="D5" s="96"/>
      <c r="E5" s="96"/>
      <c r="F5" s="97"/>
      <c r="G5" s="149" t="s">
        <v>50</v>
      </c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100"/>
      <c r="V5" s="15"/>
      <c r="W5" s="15"/>
      <c r="X5" s="88" t="s">
        <v>2</v>
      </c>
      <c r="Y5" s="89"/>
      <c r="Z5" s="90">
        <f>AJ2</f>
        <v>1</v>
      </c>
      <c r="AA5" s="111"/>
      <c r="AB5" s="88" t="s">
        <v>10</v>
      </c>
      <c r="AC5" s="89"/>
      <c r="AD5" s="102">
        <f>COUNTIF($E$10:$F$40,AI4)</f>
        <v>0</v>
      </c>
      <c r="AE5" s="103"/>
      <c r="AF5" s="16"/>
      <c r="AG5" s="8"/>
      <c r="AH5" s="2"/>
      <c r="AI5" s="13" t="s">
        <v>13</v>
      </c>
      <c r="AJ5" s="13">
        <f t="shared" si="0"/>
        <v>0</v>
      </c>
      <c r="AK5" s="8"/>
    </row>
    <row r="6" spans="2:60" ht="30" customHeight="1" thickBot="1" x14ac:dyDescent="0.2">
      <c r="B6" s="104" t="s">
        <v>12</v>
      </c>
      <c r="C6" s="105"/>
      <c r="D6" s="105"/>
      <c r="E6" s="105"/>
      <c r="F6" s="106"/>
      <c r="G6" s="150" t="s">
        <v>51</v>
      </c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9"/>
      <c r="V6" s="15"/>
      <c r="W6" s="15"/>
      <c r="X6" s="88" t="s">
        <v>43</v>
      </c>
      <c r="Y6" s="89"/>
      <c r="Z6" s="112">
        <f>SUM(BE:BE)</f>
        <v>6</v>
      </c>
      <c r="AA6" s="113"/>
      <c r="AB6" s="88" t="s">
        <v>13</v>
      </c>
      <c r="AC6" s="92"/>
      <c r="AD6" s="102">
        <f>COUNTIF($E$10:$F$40,AI5)</f>
        <v>0</v>
      </c>
      <c r="AE6" s="110"/>
      <c r="AH6" s="2"/>
      <c r="AI6" s="13" t="s">
        <v>6</v>
      </c>
      <c r="AJ6" s="13">
        <f t="shared" si="0"/>
        <v>0</v>
      </c>
    </row>
    <row r="7" spans="2:60" ht="24.95" customHeight="1" thickBot="1" x14ac:dyDescent="0.2">
      <c r="B7" s="20"/>
      <c r="C7" s="20"/>
      <c r="D7" s="20"/>
      <c r="E7" s="20"/>
      <c r="F7" s="20"/>
      <c r="G7" s="20"/>
      <c r="H7" s="20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AB7" s="88" t="s">
        <v>14</v>
      </c>
      <c r="AC7" s="92"/>
      <c r="AD7" s="102">
        <f>AJ9</f>
        <v>0</v>
      </c>
      <c r="AE7" s="110"/>
      <c r="AH7" s="2"/>
      <c r="AI7" s="13" t="s">
        <v>42</v>
      </c>
      <c r="AJ7" s="13">
        <f t="shared" si="0"/>
        <v>0</v>
      </c>
    </row>
    <row r="8" spans="2:60" ht="24.95" customHeight="1" thickBot="1" x14ac:dyDescent="0.2">
      <c r="E8" s="8"/>
      <c r="F8" s="8"/>
      <c r="I8" s="8"/>
      <c r="J8" s="8"/>
      <c r="AH8" s="22"/>
      <c r="AI8" s="13" t="s">
        <v>46</v>
      </c>
      <c r="AJ8" s="13">
        <f t="shared" si="0"/>
        <v>0</v>
      </c>
    </row>
    <row r="9" spans="2:60" s="23" customFormat="1" ht="33" customHeight="1" thickBot="1" x14ac:dyDescent="0.2">
      <c r="B9" s="114" t="s">
        <v>15</v>
      </c>
      <c r="C9" s="115"/>
      <c r="D9" s="115"/>
      <c r="E9" s="116" t="s">
        <v>16</v>
      </c>
      <c r="F9" s="117"/>
      <c r="G9" s="118" t="s">
        <v>17</v>
      </c>
      <c r="H9" s="117"/>
      <c r="I9" s="118" t="s">
        <v>18</v>
      </c>
      <c r="J9" s="117"/>
      <c r="K9" s="118" t="s">
        <v>19</v>
      </c>
      <c r="L9" s="117"/>
      <c r="M9" s="118" t="s">
        <v>20</v>
      </c>
      <c r="N9" s="117"/>
      <c r="O9" s="118" t="s">
        <v>21</v>
      </c>
      <c r="P9" s="117"/>
      <c r="Q9" s="118" t="s">
        <v>22</v>
      </c>
      <c r="R9" s="117"/>
      <c r="S9" s="118" t="s">
        <v>48</v>
      </c>
      <c r="T9" s="117"/>
      <c r="U9" s="118" t="s">
        <v>23</v>
      </c>
      <c r="V9" s="117"/>
      <c r="W9" s="118" t="s">
        <v>24</v>
      </c>
      <c r="X9" s="117"/>
      <c r="Y9" s="118" t="s">
        <v>25</v>
      </c>
      <c r="Z9" s="117"/>
      <c r="AA9" s="119" t="s">
        <v>26</v>
      </c>
      <c r="AB9" s="120"/>
      <c r="AC9" s="120"/>
      <c r="AD9" s="120"/>
      <c r="AE9" s="121"/>
      <c r="AF9" s="22"/>
      <c r="AG9" s="22"/>
      <c r="AH9" s="29"/>
      <c r="AI9" s="17" t="s">
        <v>14</v>
      </c>
      <c r="AJ9" s="17">
        <f t="shared" si="0"/>
        <v>0</v>
      </c>
      <c r="AL9" s="2"/>
    </row>
    <row r="10" spans="2:60" ht="33" customHeight="1" thickTop="1" x14ac:dyDescent="0.15">
      <c r="B10" s="122">
        <f>DATE(H2,K2-1,16)</f>
        <v>41015</v>
      </c>
      <c r="C10" s="123"/>
      <c r="D10" s="74" t="str">
        <f>TEXT(B10,"aaa")</f>
        <v>Mon</v>
      </c>
      <c r="E10" s="124"/>
      <c r="F10" s="125"/>
      <c r="G10" s="126"/>
      <c r="H10" s="127"/>
      <c r="I10" s="25">
        <v>9</v>
      </c>
      <c r="J10" s="26">
        <v>0</v>
      </c>
      <c r="K10" s="25">
        <v>18</v>
      </c>
      <c r="L10" s="26">
        <v>30</v>
      </c>
      <c r="M10" s="27">
        <f t="shared" ref="M10:M40" si="1">IF(AM10,HOUR(AS10)+DAY(AS10)*24,"")</f>
        <v>9</v>
      </c>
      <c r="N10" s="28">
        <f t="shared" ref="N10:N40" si="2">IF(AM10,MINUTE(AS10),"")</f>
        <v>30</v>
      </c>
      <c r="O10" s="25">
        <v>1</v>
      </c>
      <c r="P10" s="26">
        <v>30</v>
      </c>
      <c r="Q10" s="27">
        <f t="shared" ref="Q10:Q37" si="3">IF(OR(M10="",N10=""),"",HOUR(AT10)+DAY(AT10)*24)</f>
        <v>8</v>
      </c>
      <c r="R10" s="28">
        <f t="shared" ref="R10:R37" si="4">IF(OR(M10="",N10=""),"",MINUTE(AT10))</f>
        <v>0</v>
      </c>
      <c r="S10" s="27"/>
      <c r="T10" s="28" t="str">
        <f>IF(S10="","",0)</f>
        <v/>
      </c>
      <c r="U10" s="27" t="str">
        <f t="shared" ref="U10:U39" si="5">IF(AND(WEEKDAY(B10)&lt;&gt;1,AM10,AW10&gt;0),HOUR(AW10),"")</f>
        <v/>
      </c>
      <c r="V10" s="28" t="str">
        <f t="shared" ref="V10:V40" si="6">IF(AND(WEEKDAY(B10)&lt;&gt;1,AM10,AW10),MINUTE(AW10),"")</f>
        <v/>
      </c>
      <c r="W10" s="27" t="str">
        <f t="shared" ref="W10:W40" si="7">IF(AND(WEEKDAY(B10)=1,AM10),HOUR(AZ10),"")</f>
        <v/>
      </c>
      <c r="X10" s="28" t="str">
        <f t="shared" ref="X10:X40" si="8">IF(AND(WEEKDAY(B10)=1,AM10),MINUTE(AZ10),"")</f>
        <v/>
      </c>
      <c r="Y10" s="27" t="str">
        <f t="shared" ref="Y10:Y40" si="9">IF(AND(WEEKDAY(B10)=1,AM10,AW10&gt;0),HOUR(AW10),"")</f>
        <v/>
      </c>
      <c r="Z10" s="28" t="str">
        <f t="shared" ref="Z10:Z40" si="10">IF(AND(WEEKDAY(B10)=1,AM10,AW10),MINUTE(AW10),"")</f>
        <v/>
      </c>
      <c r="AA10" s="128"/>
      <c r="AB10" s="128"/>
      <c r="AC10" s="128"/>
      <c r="AD10" s="128"/>
      <c r="AE10" s="129"/>
      <c r="AF10" s="29"/>
      <c r="AG10" s="29"/>
      <c r="AH10" s="29"/>
      <c r="AI10" s="22"/>
      <c r="AJ10" s="22"/>
      <c r="AK10" s="22"/>
      <c r="AL10" s="30"/>
      <c r="AM10" s="31" t="b">
        <f>IF(OR(I10="",J10="",K10="",L10=""),FALSE,TRUE)</f>
        <v>1</v>
      </c>
      <c r="AN10" s="32">
        <f>B10+TIME(5,0,0)</f>
        <v>41015.208333333336</v>
      </c>
      <c r="AO10" s="69">
        <f>B10+TIME(22,0,0)</f>
        <v>41015.916666666664</v>
      </c>
      <c r="AP10" s="33">
        <f>B10+1+TIME(5,0,0)</f>
        <v>41016.208333333336</v>
      </c>
      <c r="AQ10" s="34">
        <f>B10+TIME(I10,J10,0)</f>
        <v>41015.375</v>
      </c>
      <c r="AR10" s="35">
        <f t="shared" ref="AR10:AR40" si="11">IF(AQ10&lt;B10+TIME(K10,L10,0),B10+TIME(K10,L10,0),B10+1+TIME(K10,L10,0))</f>
        <v>41015.770833333336</v>
      </c>
      <c r="AS10" s="35">
        <f>AR10-AQ10</f>
        <v>0.39583333333575865</v>
      </c>
      <c r="AT10" s="36">
        <f t="shared" ref="AT10:AT29" si="12">IF(AS10&gt;TIME(O10,P10,0),AS10-TIME(O10,P10,0),0)</f>
        <v>0.33333333333575865</v>
      </c>
      <c r="AU10" s="34">
        <f t="shared" ref="AU10:AU40" si="13">IF(AQ10&lt;AN10,IF(AR10&lt;AN10,AR10-AQ10,AN10-AQ10),0)</f>
        <v>0</v>
      </c>
      <c r="AV10" s="35">
        <f t="shared" ref="AV10:AV29" si="14">IF(AQ10&gt;AO10,IF(AR10&gt;AP10,AP10,AR10)-AQ10,IF(AR10&gt;AO10,IF(AR10&gt;AP10,AP10,AR10)-AO10,0))</f>
        <v>0</v>
      </c>
      <c r="AW10" s="36">
        <f t="shared" ref="AW10:AW40" si="15">AU10+AV10</f>
        <v>0</v>
      </c>
      <c r="AX10" s="34">
        <f t="shared" ref="AX10:AX40" si="16">IF(AQ10&gt;AN10,AQ10,AN10)</f>
        <v>41015.375</v>
      </c>
      <c r="AY10" s="35">
        <f>IF(AR10&lt;AP10,AR10,AP10)</f>
        <v>41015.770833333336</v>
      </c>
      <c r="AZ10" s="36">
        <f t="shared" ref="AZ10:AZ40" si="17">AY10-AX10-TIME(O10,P10,0)</f>
        <v>0.33333333333575865</v>
      </c>
      <c r="BA10" s="9" t="b">
        <f>IF(CONCATENATE(I10,J10,K10,L10,O10,P10)="",TRUE,FALSE)</f>
        <v>0</v>
      </c>
      <c r="BB10" s="37" t="b">
        <f>IF(OR(I10="",J10="",K10="",L10="",O10="",P10=""),FALSE,TRUE)</f>
        <v>1</v>
      </c>
      <c r="BC10" s="38" t="b">
        <f>NOT(OR(BA10,BB10))</f>
        <v>0</v>
      </c>
      <c r="BD10" s="9">
        <f>IF(OR(E10=$AI$2,E10=$AI$5,E10=$AI$6,E10=$AI$8),8,0)</f>
        <v>0</v>
      </c>
      <c r="BE10" s="37">
        <f>IF(OR(E10=$AI$3,E10=$AI$7),ABS(S10),0)</f>
        <v>0</v>
      </c>
      <c r="BF10" s="9">
        <f>IF(G10=$AK$3,-8,0)</f>
        <v>0</v>
      </c>
      <c r="BG10" s="38">
        <f>IF(G10=$AK$4,-4,0)</f>
        <v>0</v>
      </c>
      <c r="BH10" s="10">
        <f>SUM(BD10:BG10)</f>
        <v>0</v>
      </c>
    </row>
    <row r="11" spans="2:60" ht="33" customHeight="1" x14ac:dyDescent="0.15">
      <c r="B11" s="130">
        <f>B10+1</f>
        <v>41016</v>
      </c>
      <c r="C11" s="131"/>
      <c r="D11" s="72" t="str">
        <f t="shared" ref="D11:D40" si="18">TEXT(B11,"aaa")</f>
        <v>Tue</v>
      </c>
      <c r="E11" s="132" t="s">
        <v>43</v>
      </c>
      <c r="F11" s="133"/>
      <c r="G11" s="134"/>
      <c r="H11" s="135"/>
      <c r="I11" s="40">
        <v>13</v>
      </c>
      <c r="J11" s="41">
        <v>0</v>
      </c>
      <c r="K11" s="40">
        <v>18</v>
      </c>
      <c r="L11" s="41">
        <v>0</v>
      </c>
      <c r="M11" s="42">
        <f t="shared" si="1"/>
        <v>5</v>
      </c>
      <c r="N11" s="43">
        <f t="shared" si="2"/>
        <v>0</v>
      </c>
      <c r="O11" s="40">
        <v>0</v>
      </c>
      <c r="P11" s="41">
        <v>0</v>
      </c>
      <c r="Q11" s="42">
        <f t="shared" si="3"/>
        <v>5</v>
      </c>
      <c r="R11" s="43">
        <f t="shared" si="4"/>
        <v>0</v>
      </c>
      <c r="S11" s="42">
        <v>3</v>
      </c>
      <c r="T11" s="43">
        <f t="shared" ref="T11:T40" si="19">IF(S11="","",0)</f>
        <v>0</v>
      </c>
      <c r="U11" s="42" t="str">
        <f t="shared" si="5"/>
        <v/>
      </c>
      <c r="V11" s="43" t="str">
        <f t="shared" si="6"/>
        <v/>
      </c>
      <c r="W11" s="42" t="str">
        <f t="shared" si="7"/>
        <v/>
      </c>
      <c r="X11" s="43" t="str">
        <f t="shared" si="8"/>
        <v/>
      </c>
      <c r="Y11" s="42" t="str">
        <f t="shared" si="9"/>
        <v/>
      </c>
      <c r="Z11" s="43" t="str">
        <f t="shared" si="10"/>
        <v/>
      </c>
      <c r="AA11" s="136" t="s">
        <v>53</v>
      </c>
      <c r="AB11" s="136"/>
      <c r="AC11" s="136"/>
      <c r="AD11" s="136"/>
      <c r="AE11" s="137"/>
      <c r="AF11" s="29"/>
      <c r="AG11" s="29"/>
      <c r="AH11" s="29"/>
      <c r="AI11" s="29"/>
      <c r="AJ11" s="29"/>
      <c r="AK11" s="29"/>
      <c r="AL11" s="44"/>
      <c r="AM11" s="45" t="b">
        <f t="shared" ref="AM11:AM36" si="20">IF(OR(I11="",J11="",K11="",L11=""),FALSE,TRUE)</f>
        <v>1</v>
      </c>
      <c r="AN11" s="46">
        <f t="shared" ref="AN11:AN40" si="21">B11+TIME(5,0,0)</f>
        <v>41016.208333333336</v>
      </c>
      <c r="AO11" s="70">
        <f t="shared" ref="AO11:AO40" si="22">B11+TIME(22,0,0)</f>
        <v>41016.916666666664</v>
      </c>
      <c r="AP11" s="47">
        <f t="shared" ref="AP11:AP40" si="23">B11+1+TIME(5,0,0)</f>
        <v>41017.208333333336</v>
      </c>
      <c r="AQ11" s="48">
        <f>B11+TIME(I11,J11,0)</f>
        <v>41016.541666666664</v>
      </c>
      <c r="AR11" s="49">
        <f t="shared" si="11"/>
        <v>41016.75</v>
      </c>
      <c r="AS11" s="49">
        <f>AR11-AQ11</f>
        <v>0.20833333333575865</v>
      </c>
      <c r="AT11" s="50">
        <f t="shared" si="12"/>
        <v>0.20833333333575865</v>
      </c>
      <c r="AU11" s="48">
        <f t="shared" si="13"/>
        <v>0</v>
      </c>
      <c r="AV11" s="49">
        <f t="shared" si="14"/>
        <v>0</v>
      </c>
      <c r="AW11" s="50">
        <f t="shared" si="15"/>
        <v>0</v>
      </c>
      <c r="AX11" s="48">
        <f t="shared" si="16"/>
        <v>41016.541666666664</v>
      </c>
      <c r="AY11" s="49">
        <f t="shared" ref="AY11:AY40" si="24">IF(AR11&lt;AP11,AR11,AP11)</f>
        <v>41016.75</v>
      </c>
      <c r="AZ11" s="50">
        <f t="shared" si="17"/>
        <v>0.20833333333575865</v>
      </c>
      <c r="BA11" s="12" t="b">
        <f t="shared" ref="BA11:BA40" si="25">IF(CONCATENATE(I11,J11,K11,L11,O11,P11)="",TRUE,FALSE)</f>
        <v>0</v>
      </c>
      <c r="BB11" s="8" t="b">
        <f t="shared" ref="BB11:BB40" si="26">IF(OR(I11="",J11="",K11="",L11="",O11="",P11=""),FALSE,TRUE)</f>
        <v>1</v>
      </c>
      <c r="BC11" s="51" t="b">
        <f t="shared" ref="BC11:BC40" si="27">NOT(OR(BA11,BB11))</f>
        <v>0</v>
      </c>
      <c r="BD11" s="12">
        <f t="shared" ref="BD11:BD40" si="28">IF(OR(E11=$AI$2,E11=$AI$5,E11=$AI$6,E11=$AI$8),8,0)</f>
        <v>0</v>
      </c>
      <c r="BE11" s="8">
        <f t="shared" ref="BE11:BE40" si="29">IF(OR(E11=$AI$3,E11=$AI$7),ABS(S11),0)</f>
        <v>3</v>
      </c>
      <c r="BF11" s="12">
        <f t="shared" ref="BF11:BF40" si="30">IF(G11=$AK$3,-8,0)</f>
        <v>0</v>
      </c>
      <c r="BG11" s="51">
        <f t="shared" ref="BG11:BG40" si="31">IF(G11=$AK$4,-4,0)</f>
        <v>0</v>
      </c>
      <c r="BH11" s="13">
        <f t="shared" ref="BH11:BH40" si="32">SUM(BD11:BG11)</f>
        <v>3</v>
      </c>
    </row>
    <row r="12" spans="2:60" ht="33" customHeight="1" x14ac:dyDescent="0.15">
      <c r="B12" s="130">
        <f t="shared" ref="B12:B36" si="33">B11+1</f>
        <v>41017</v>
      </c>
      <c r="C12" s="131"/>
      <c r="D12" s="72" t="str">
        <f t="shared" si="18"/>
        <v>Wed</v>
      </c>
      <c r="E12" s="132" t="s">
        <v>43</v>
      </c>
      <c r="F12" s="133"/>
      <c r="G12" s="134"/>
      <c r="H12" s="135"/>
      <c r="I12" s="40">
        <v>9</v>
      </c>
      <c r="J12" s="41">
        <v>0</v>
      </c>
      <c r="K12" s="40">
        <v>20</v>
      </c>
      <c r="L12" s="41">
        <v>0</v>
      </c>
      <c r="M12" s="42">
        <f t="shared" si="1"/>
        <v>11</v>
      </c>
      <c r="N12" s="43">
        <f t="shared" si="2"/>
        <v>0</v>
      </c>
      <c r="O12" s="40">
        <v>4</v>
      </c>
      <c r="P12" s="41">
        <v>30</v>
      </c>
      <c r="Q12" s="42">
        <f t="shared" si="3"/>
        <v>6</v>
      </c>
      <c r="R12" s="43">
        <f t="shared" si="4"/>
        <v>30</v>
      </c>
      <c r="S12" s="42">
        <v>3</v>
      </c>
      <c r="T12" s="43">
        <f t="shared" si="19"/>
        <v>0</v>
      </c>
      <c r="U12" s="42" t="str">
        <f t="shared" si="5"/>
        <v/>
      </c>
      <c r="V12" s="43" t="str">
        <f t="shared" si="6"/>
        <v/>
      </c>
      <c r="W12" s="42" t="str">
        <f t="shared" si="7"/>
        <v/>
      </c>
      <c r="X12" s="43" t="str">
        <f t="shared" si="8"/>
        <v/>
      </c>
      <c r="Y12" s="42" t="str">
        <f t="shared" si="9"/>
        <v/>
      </c>
      <c r="Z12" s="43" t="str">
        <f t="shared" si="10"/>
        <v/>
      </c>
      <c r="AA12" s="136" t="s">
        <v>52</v>
      </c>
      <c r="AB12" s="136"/>
      <c r="AC12" s="136"/>
      <c r="AD12" s="136"/>
      <c r="AE12" s="137"/>
      <c r="AF12" s="29"/>
      <c r="AG12" s="29"/>
      <c r="AH12" s="29"/>
      <c r="AI12" s="29"/>
      <c r="AJ12" s="29"/>
      <c r="AK12" s="29"/>
      <c r="AL12" s="44"/>
      <c r="AM12" s="45" t="b">
        <f t="shared" si="20"/>
        <v>1</v>
      </c>
      <c r="AN12" s="46">
        <f t="shared" si="21"/>
        <v>41017.208333333336</v>
      </c>
      <c r="AO12" s="70">
        <f t="shared" si="22"/>
        <v>41017.916666666664</v>
      </c>
      <c r="AP12" s="47">
        <f t="shared" si="23"/>
        <v>41018.208333333336</v>
      </c>
      <c r="AQ12" s="48">
        <f t="shared" ref="AQ12:AQ40" si="34">B12+TIME(I12,J12,0)</f>
        <v>41017.375</v>
      </c>
      <c r="AR12" s="49">
        <f t="shared" si="11"/>
        <v>41017.833333333336</v>
      </c>
      <c r="AS12" s="49">
        <f t="shared" ref="AS12:AS40" si="35">AR12-AQ12</f>
        <v>0.45833333333575865</v>
      </c>
      <c r="AT12" s="50">
        <f t="shared" si="12"/>
        <v>0.27083333333575865</v>
      </c>
      <c r="AU12" s="48">
        <f t="shared" si="13"/>
        <v>0</v>
      </c>
      <c r="AV12" s="49">
        <f t="shared" si="14"/>
        <v>0</v>
      </c>
      <c r="AW12" s="50">
        <f t="shared" si="15"/>
        <v>0</v>
      </c>
      <c r="AX12" s="48">
        <f t="shared" si="16"/>
        <v>41017.375</v>
      </c>
      <c r="AY12" s="49">
        <f t="shared" si="24"/>
        <v>41017.833333333336</v>
      </c>
      <c r="AZ12" s="50">
        <f t="shared" si="17"/>
        <v>0.27083333333575865</v>
      </c>
      <c r="BA12" s="12" t="b">
        <f t="shared" si="25"/>
        <v>0</v>
      </c>
      <c r="BB12" s="8" t="b">
        <f t="shared" si="26"/>
        <v>1</v>
      </c>
      <c r="BC12" s="51" t="b">
        <f t="shared" si="27"/>
        <v>0</v>
      </c>
      <c r="BD12" s="12">
        <f t="shared" si="28"/>
        <v>0</v>
      </c>
      <c r="BE12" s="8">
        <f t="shared" si="29"/>
        <v>3</v>
      </c>
      <c r="BF12" s="12">
        <f t="shared" si="30"/>
        <v>0</v>
      </c>
      <c r="BG12" s="51">
        <f t="shared" si="31"/>
        <v>0</v>
      </c>
      <c r="BH12" s="13">
        <f t="shared" si="32"/>
        <v>3</v>
      </c>
    </row>
    <row r="13" spans="2:60" ht="33" customHeight="1" x14ac:dyDescent="0.15">
      <c r="B13" s="130">
        <f t="shared" si="33"/>
        <v>41018</v>
      </c>
      <c r="C13" s="131"/>
      <c r="D13" s="72" t="str">
        <f t="shared" si="18"/>
        <v>Thu</v>
      </c>
      <c r="E13" s="132"/>
      <c r="F13" s="133"/>
      <c r="G13" s="134"/>
      <c r="H13" s="135"/>
      <c r="I13" s="40">
        <v>9</v>
      </c>
      <c r="J13" s="41">
        <v>0</v>
      </c>
      <c r="K13" s="40">
        <v>18</v>
      </c>
      <c r="L13" s="41">
        <v>0</v>
      </c>
      <c r="M13" s="42">
        <f t="shared" si="1"/>
        <v>9</v>
      </c>
      <c r="N13" s="43">
        <f t="shared" si="2"/>
        <v>0</v>
      </c>
      <c r="O13" s="40">
        <v>1</v>
      </c>
      <c r="P13" s="41">
        <v>0</v>
      </c>
      <c r="Q13" s="42">
        <f t="shared" si="3"/>
        <v>8</v>
      </c>
      <c r="R13" s="43">
        <f t="shared" si="4"/>
        <v>0</v>
      </c>
      <c r="S13" s="42"/>
      <c r="T13" s="43" t="str">
        <f t="shared" si="19"/>
        <v/>
      </c>
      <c r="U13" s="42" t="str">
        <f t="shared" si="5"/>
        <v/>
      </c>
      <c r="V13" s="43" t="str">
        <f t="shared" si="6"/>
        <v/>
      </c>
      <c r="W13" s="42" t="str">
        <f t="shared" si="7"/>
        <v/>
      </c>
      <c r="X13" s="43" t="str">
        <f t="shared" si="8"/>
        <v/>
      </c>
      <c r="Y13" s="42" t="str">
        <f t="shared" si="9"/>
        <v/>
      </c>
      <c r="Z13" s="43" t="str">
        <f t="shared" si="10"/>
        <v/>
      </c>
      <c r="AA13" s="136"/>
      <c r="AB13" s="136"/>
      <c r="AC13" s="136"/>
      <c r="AD13" s="136"/>
      <c r="AE13" s="137"/>
      <c r="AF13" s="29"/>
      <c r="AG13" s="29"/>
      <c r="AH13" s="29"/>
      <c r="AI13" s="29"/>
      <c r="AJ13" s="29"/>
      <c r="AK13" s="29"/>
      <c r="AL13" s="44"/>
      <c r="AM13" s="45" t="b">
        <f t="shared" si="20"/>
        <v>1</v>
      </c>
      <c r="AN13" s="46">
        <f t="shared" si="21"/>
        <v>41018.208333333336</v>
      </c>
      <c r="AO13" s="70">
        <f t="shared" si="22"/>
        <v>41018.916666666664</v>
      </c>
      <c r="AP13" s="47">
        <f t="shared" si="23"/>
        <v>41019.208333333336</v>
      </c>
      <c r="AQ13" s="48">
        <f t="shared" si="34"/>
        <v>41018.375</v>
      </c>
      <c r="AR13" s="49">
        <f t="shared" si="11"/>
        <v>41018.75</v>
      </c>
      <c r="AS13" s="49">
        <f t="shared" si="35"/>
        <v>0.375</v>
      </c>
      <c r="AT13" s="50">
        <f t="shared" si="12"/>
        <v>0.33333333333333331</v>
      </c>
      <c r="AU13" s="48">
        <f t="shared" si="13"/>
        <v>0</v>
      </c>
      <c r="AV13" s="49">
        <f t="shared" si="14"/>
        <v>0</v>
      </c>
      <c r="AW13" s="50">
        <f t="shared" si="15"/>
        <v>0</v>
      </c>
      <c r="AX13" s="48">
        <f t="shared" si="16"/>
        <v>41018.375</v>
      </c>
      <c r="AY13" s="49">
        <f t="shared" si="24"/>
        <v>41018.75</v>
      </c>
      <c r="AZ13" s="50">
        <f t="shared" si="17"/>
        <v>0.33333333333333331</v>
      </c>
      <c r="BA13" s="12" t="b">
        <f t="shared" si="25"/>
        <v>0</v>
      </c>
      <c r="BB13" s="8" t="b">
        <f t="shared" si="26"/>
        <v>1</v>
      </c>
      <c r="BC13" s="51" t="b">
        <f t="shared" si="27"/>
        <v>0</v>
      </c>
      <c r="BD13" s="12">
        <f t="shared" si="28"/>
        <v>0</v>
      </c>
      <c r="BE13" s="8">
        <f t="shared" si="29"/>
        <v>0</v>
      </c>
      <c r="BF13" s="12">
        <f t="shared" si="30"/>
        <v>0</v>
      </c>
      <c r="BG13" s="51">
        <f t="shared" si="31"/>
        <v>0</v>
      </c>
      <c r="BH13" s="13">
        <f t="shared" si="32"/>
        <v>0</v>
      </c>
    </row>
    <row r="14" spans="2:60" ht="33" customHeight="1" x14ac:dyDescent="0.15">
      <c r="B14" s="130">
        <f t="shared" si="33"/>
        <v>41019</v>
      </c>
      <c r="C14" s="131"/>
      <c r="D14" s="72" t="str">
        <f t="shared" si="18"/>
        <v>Fri</v>
      </c>
      <c r="E14" s="132" t="s">
        <v>2</v>
      </c>
      <c r="F14" s="133"/>
      <c r="G14" s="134"/>
      <c r="H14" s="135"/>
      <c r="I14" s="40"/>
      <c r="J14" s="41"/>
      <c r="K14" s="40"/>
      <c r="L14" s="41"/>
      <c r="M14" s="42" t="str">
        <f t="shared" si="1"/>
        <v/>
      </c>
      <c r="N14" s="43" t="str">
        <f t="shared" si="2"/>
        <v/>
      </c>
      <c r="O14" s="40"/>
      <c r="P14" s="41"/>
      <c r="Q14" s="42" t="str">
        <f t="shared" si="3"/>
        <v/>
      </c>
      <c r="R14" s="43" t="str">
        <f t="shared" si="4"/>
        <v/>
      </c>
      <c r="S14" s="42"/>
      <c r="T14" s="43" t="str">
        <f t="shared" si="19"/>
        <v/>
      </c>
      <c r="U14" s="42" t="str">
        <f t="shared" si="5"/>
        <v/>
      </c>
      <c r="V14" s="43" t="str">
        <f t="shared" si="6"/>
        <v/>
      </c>
      <c r="W14" s="42" t="str">
        <f t="shared" si="7"/>
        <v/>
      </c>
      <c r="X14" s="43" t="str">
        <f t="shared" si="8"/>
        <v/>
      </c>
      <c r="Y14" s="42" t="str">
        <f t="shared" si="9"/>
        <v/>
      </c>
      <c r="Z14" s="43" t="str">
        <f t="shared" si="10"/>
        <v/>
      </c>
      <c r="AA14" s="136" t="s">
        <v>54</v>
      </c>
      <c r="AB14" s="136"/>
      <c r="AC14" s="136"/>
      <c r="AD14" s="136"/>
      <c r="AE14" s="137"/>
      <c r="AF14" s="29"/>
      <c r="AG14" s="29"/>
      <c r="AH14" s="29"/>
      <c r="AI14" s="29"/>
      <c r="AJ14" s="29"/>
      <c r="AK14" s="29"/>
      <c r="AL14" s="44"/>
      <c r="AM14" s="45" t="b">
        <f t="shared" si="20"/>
        <v>0</v>
      </c>
      <c r="AN14" s="46">
        <f t="shared" si="21"/>
        <v>41019.208333333336</v>
      </c>
      <c r="AO14" s="70">
        <f t="shared" si="22"/>
        <v>41019.916666666664</v>
      </c>
      <c r="AP14" s="47">
        <f t="shared" si="23"/>
        <v>41020.208333333336</v>
      </c>
      <c r="AQ14" s="48">
        <f t="shared" si="34"/>
        <v>41019</v>
      </c>
      <c r="AR14" s="49">
        <f t="shared" si="11"/>
        <v>41020</v>
      </c>
      <c r="AS14" s="49">
        <f t="shared" si="35"/>
        <v>1</v>
      </c>
      <c r="AT14" s="50">
        <f t="shared" si="12"/>
        <v>1</v>
      </c>
      <c r="AU14" s="48">
        <f t="shared" si="13"/>
        <v>0.20833333333575865</v>
      </c>
      <c r="AV14" s="49">
        <f t="shared" si="14"/>
        <v>8.3333333335758653E-2</v>
      </c>
      <c r="AW14" s="50">
        <f t="shared" si="15"/>
        <v>0.29166666667151731</v>
      </c>
      <c r="AX14" s="48">
        <f t="shared" si="16"/>
        <v>41019.208333333336</v>
      </c>
      <c r="AY14" s="49">
        <f t="shared" si="24"/>
        <v>41020</v>
      </c>
      <c r="AZ14" s="50">
        <f t="shared" si="17"/>
        <v>0.79166666666424135</v>
      </c>
      <c r="BA14" s="12" t="b">
        <f t="shared" si="25"/>
        <v>1</v>
      </c>
      <c r="BB14" s="8" t="b">
        <f t="shared" si="26"/>
        <v>0</v>
      </c>
      <c r="BC14" s="51" t="b">
        <f t="shared" si="27"/>
        <v>0</v>
      </c>
      <c r="BD14" s="12">
        <f t="shared" si="28"/>
        <v>8</v>
      </c>
      <c r="BE14" s="8">
        <f t="shared" si="29"/>
        <v>0</v>
      </c>
      <c r="BF14" s="12">
        <f t="shared" si="30"/>
        <v>0</v>
      </c>
      <c r="BG14" s="51">
        <f t="shared" si="31"/>
        <v>0</v>
      </c>
      <c r="BH14" s="13">
        <f t="shared" si="32"/>
        <v>8</v>
      </c>
    </row>
    <row r="15" spans="2:60" ht="33" customHeight="1" x14ac:dyDescent="0.15">
      <c r="B15" s="130">
        <f t="shared" si="33"/>
        <v>41020</v>
      </c>
      <c r="C15" s="131"/>
      <c r="D15" s="72" t="str">
        <f t="shared" si="18"/>
        <v>Sat</v>
      </c>
      <c r="E15" s="132"/>
      <c r="F15" s="133"/>
      <c r="G15" s="134" t="s">
        <v>6</v>
      </c>
      <c r="H15" s="135"/>
      <c r="I15" s="40">
        <v>9</v>
      </c>
      <c r="J15" s="41">
        <v>0</v>
      </c>
      <c r="K15" s="40">
        <v>18</v>
      </c>
      <c r="L15" s="41">
        <v>0</v>
      </c>
      <c r="M15" s="42">
        <f t="shared" si="1"/>
        <v>9</v>
      </c>
      <c r="N15" s="43">
        <f t="shared" si="2"/>
        <v>0</v>
      </c>
      <c r="O15" s="40">
        <v>1</v>
      </c>
      <c r="P15" s="41">
        <v>0</v>
      </c>
      <c r="Q15" s="42">
        <f t="shared" si="3"/>
        <v>8</v>
      </c>
      <c r="R15" s="43">
        <f t="shared" si="4"/>
        <v>0</v>
      </c>
      <c r="S15" s="42"/>
      <c r="T15" s="43" t="str">
        <f t="shared" si="19"/>
        <v/>
      </c>
      <c r="U15" s="42" t="str">
        <f t="shared" si="5"/>
        <v/>
      </c>
      <c r="V15" s="43" t="str">
        <f t="shared" si="6"/>
        <v/>
      </c>
      <c r="W15" s="42" t="str">
        <f t="shared" si="7"/>
        <v/>
      </c>
      <c r="X15" s="43" t="str">
        <f t="shared" si="8"/>
        <v/>
      </c>
      <c r="Y15" s="42" t="str">
        <f t="shared" si="9"/>
        <v/>
      </c>
      <c r="Z15" s="43" t="str">
        <f t="shared" si="10"/>
        <v/>
      </c>
      <c r="AA15" s="136"/>
      <c r="AB15" s="136"/>
      <c r="AC15" s="136"/>
      <c r="AD15" s="136"/>
      <c r="AE15" s="137"/>
      <c r="AF15" s="29"/>
      <c r="AG15" s="29"/>
      <c r="AH15" s="29"/>
      <c r="AI15" s="29"/>
      <c r="AJ15" s="29"/>
      <c r="AK15" s="29"/>
      <c r="AL15" s="44"/>
      <c r="AM15" s="45" t="b">
        <f t="shared" si="20"/>
        <v>1</v>
      </c>
      <c r="AN15" s="46">
        <f t="shared" si="21"/>
        <v>41020.208333333336</v>
      </c>
      <c r="AO15" s="70">
        <f t="shared" si="22"/>
        <v>41020.916666666664</v>
      </c>
      <c r="AP15" s="47">
        <f t="shared" si="23"/>
        <v>41021.208333333336</v>
      </c>
      <c r="AQ15" s="48">
        <f t="shared" si="34"/>
        <v>41020.375</v>
      </c>
      <c r="AR15" s="49">
        <f t="shared" si="11"/>
        <v>41020.75</v>
      </c>
      <c r="AS15" s="49">
        <f t="shared" si="35"/>
        <v>0.375</v>
      </c>
      <c r="AT15" s="50">
        <f t="shared" si="12"/>
        <v>0.33333333333333331</v>
      </c>
      <c r="AU15" s="48">
        <f t="shared" si="13"/>
        <v>0</v>
      </c>
      <c r="AV15" s="49">
        <f t="shared" si="14"/>
        <v>0</v>
      </c>
      <c r="AW15" s="50">
        <f t="shared" si="15"/>
        <v>0</v>
      </c>
      <c r="AX15" s="48">
        <f t="shared" si="16"/>
        <v>41020.375</v>
      </c>
      <c r="AY15" s="49">
        <f t="shared" si="24"/>
        <v>41020.75</v>
      </c>
      <c r="AZ15" s="50">
        <f t="shared" si="17"/>
        <v>0.33333333333333331</v>
      </c>
      <c r="BA15" s="12" t="b">
        <f t="shared" si="25"/>
        <v>0</v>
      </c>
      <c r="BB15" s="8" t="b">
        <f t="shared" si="26"/>
        <v>1</v>
      </c>
      <c r="BC15" s="51" t="b">
        <f t="shared" si="27"/>
        <v>0</v>
      </c>
      <c r="BD15" s="12">
        <f t="shared" si="28"/>
        <v>0</v>
      </c>
      <c r="BE15" s="8">
        <f t="shared" si="29"/>
        <v>0</v>
      </c>
      <c r="BF15" s="12">
        <f t="shared" si="30"/>
        <v>-8</v>
      </c>
      <c r="BG15" s="51">
        <f t="shared" si="31"/>
        <v>0</v>
      </c>
      <c r="BH15" s="13">
        <f t="shared" si="32"/>
        <v>-8</v>
      </c>
    </row>
    <row r="16" spans="2:60" ht="33" customHeight="1" x14ac:dyDescent="0.15">
      <c r="B16" s="130">
        <f t="shared" si="33"/>
        <v>41021</v>
      </c>
      <c r="C16" s="131"/>
      <c r="D16" s="72" t="str">
        <f t="shared" si="18"/>
        <v>Sun</v>
      </c>
      <c r="E16" s="132"/>
      <c r="F16" s="133"/>
      <c r="G16" s="134"/>
      <c r="H16" s="135"/>
      <c r="I16" s="40"/>
      <c r="J16" s="41"/>
      <c r="K16" s="40"/>
      <c r="L16" s="41"/>
      <c r="M16" s="42" t="str">
        <f t="shared" si="1"/>
        <v/>
      </c>
      <c r="N16" s="43" t="str">
        <f t="shared" si="2"/>
        <v/>
      </c>
      <c r="O16" s="40"/>
      <c r="P16" s="41"/>
      <c r="Q16" s="42" t="str">
        <f t="shared" si="3"/>
        <v/>
      </c>
      <c r="R16" s="43" t="str">
        <f t="shared" si="4"/>
        <v/>
      </c>
      <c r="S16" s="42"/>
      <c r="T16" s="43" t="str">
        <f t="shared" si="19"/>
        <v/>
      </c>
      <c r="U16" s="42" t="str">
        <f t="shared" si="5"/>
        <v/>
      </c>
      <c r="V16" s="43" t="str">
        <f t="shared" si="6"/>
        <v/>
      </c>
      <c r="W16" s="42" t="str">
        <f t="shared" si="7"/>
        <v/>
      </c>
      <c r="X16" s="43" t="str">
        <f t="shared" si="8"/>
        <v/>
      </c>
      <c r="Y16" s="42" t="str">
        <f t="shared" si="9"/>
        <v/>
      </c>
      <c r="Z16" s="43" t="str">
        <f t="shared" si="10"/>
        <v/>
      </c>
      <c r="AA16" s="136"/>
      <c r="AB16" s="136"/>
      <c r="AC16" s="136"/>
      <c r="AD16" s="136"/>
      <c r="AE16" s="137"/>
      <c r="AF16" s="29"/>
      <c r="AG16" s="29"/>
      <c r="AH16" s="29"/>
      <c r="AI16" s="29"/>
      <c r="AJ16" s="29"/>
      <c r="AK16" s="29"/>
      <c r="AL16" s="44"/>
      <c r="AM16" s="45" t="b">
        <f t="shared" si="20"/>
        <v>0</v>
      </c>
      <c r="AN16" s="46">
        <f t="shared" si="21"/>
        <v>41021.208333333336</v>
      </c>
      <c r="AO16" s="70">
        <f t="shared" si="22"/>
        <v>41021.916666666664</v>
      </c>
      <c r="AP16" s="47">
        <f t="shared" si="23"/>
        <v>41022.208333333336</v>
      </c>
      <c r="AQ16" s="48">
        <f t="shared" si="34"/>
        <v>41021</v>
      </c>
      <c r="AR16" s="49">
        <f t="shared" si="11"/>
        <v>41022</v>
      </c>
      <c r="AS16" s="49">
        <f t="shared" si="35"/>
        <v>1</v>
      </c>
      <c r="AT16" s="50">
        <f t="shared" si="12"/>
        <v>1</v>
      </c>
      <c r="AU16" s="48">
        <f t="shared" si="13"/>
        <v>0.20833333333575865</v>
      </c>
      <c r="AV16" s="49">
        <f t="shared" si="14"/>
        <v>8.3333333335758653E-2</v>
      </c>
      <c r="AW16" s="50">
        <f t="shared" si="15"/>
        <v>0.29166666667151731</v>
      </c>
      <c r="AX16" s="48">
        <f t="shared" si="16"/>
        <v>41021.208333333336</v>
      </c>
      <c r="AY16" s="49">
        <f t="shared" si="24"/>
        <v>41022</v>
      </c>
      <c r="AZ16" s="50">
        <f t="shared" si="17"/>
        <v>0.79166666666424135</v>
      </c>
      <c r="BA16" s="12" t="b">
        <f t="shared" si="25"/>
        <v>1</v>
      </c>
      <c r="BB16" s="8" t="b">
        <f t="shared" si="26"/>
        <v>0</v>
      </c>
      <c r="BC16" s="51" t="b">
        <f t="shared" si="27"/>
        <v>0</v>
      </c>
      <c r="BD16" s="12">
        <f t="shared" si="28"/>
        <v>0</v>
      </c>
      <c r="BE16" s="8">
        <f t="shared" si="29"/>
        <v>0</v>
      </c>
      <c r="BF16" s="12">
        <f t="shared" si="30"/>
        <v>0</v>
      </c>
      <c r="BG16" s="51">
        <f t="shared" si="31"/>
        <v>0</v>
      </c>
      <c r="BH16" s="13">
        <f t="shared" si="32"/>
        <v>0</v>
      </c>
    </row>
    <row r="17" spans="2:60" ht="33" customHeight="1" x14ac:dyDescent="0.15">
      <c r="B17" s="130">
        <f t="shared" si="33"/>
        <v>41022</v>
      </c>
      <c r="C17" s="131"/>
      <c r="D17" s="72" t="str">
        <f t="shared" si="18"/>
        <v>Mon</v>
      </c>
      <c r="E17" s="132"/>
      <c r="F17" s="133"/>
      <c r="G17" s="134"/>
      <c r="H17" s="135"/>
      <c r="I17" s="40">
        <v>9</v>
      </c>
      <c r="J17" s="41">
        <v>10</v>
      </c>
      <c r="K17" s="40">
        <v>18</v>
      </c>
      <c r="L17" s="41">
        <v>0</v>
      </c>
      <c r="M17" s="42">
        <f t="shared" si="1"/>
        <v>8</v>
      </c>
      <c r="N17" s="43">
        <f t="shared" si="2"/>
        <v>50</v>
      </c>
      <c r="O17" s="40">
        <v>1</v>
      </c>
      <c r="P17" s="41">
        <v>0</v>
      </c>
      <c r="Q17" s="42">
        <f t="shared" si="3"/>
        <v>7</v>
      </c>
      <c r="R17" s="43">
        <f t="shared" si="4"/>
        <v>50</v>
      </c>
      <c r="S17" s="42"/>
      <c r="T17" s="43" t="str">
        <f t="shared" si="19"/>
        <v/>
      </c>
      <c r="U17" s="42" t="str">
        <f t="shared" si="5"/>
        <v/>
      </c>
      <c r="V17" s="43" t="str">
        <f t="shared" si="6"/>
        <v/>
      </c>
      <c r="W17" s="42" t="str">
        <f t="shared" si="7"/>
        <v/>
      </c>
      <c r="X17" s="43" t="str">
        <f t="shared" si="8"/>
        <v/>
      </c>
      <c r="Y17" s="42" t="str">
        <f t="shared" si="9"/>
        <v/>
      </c>
      <c r="Z17" s="43" t="str">
        <f t="shared" si="10"/>
        <v/>
      </c>
      <c r="AA17" s="136" t="s">
        <v>55</v>
      </c>
      <c r="AB17" s="136"/>
      <c r="AC17" s="136"/>
      <c r="AD17" s="136"/>
      <c r="AE17" s="137"/>
      <c r="AF17" s="29"/>
      <c r="AG17" s="29"/>
      <c r="AH17" s="29"/>
      <c r="AI17" s="29"/>
      <c r="AJ17" s="29"/>
      <c r="AK17" s="29"/>
      <c r="AL17" s="44"/>
      <c r="AM17" s="45" t="b">
        <f t="shared" si="20"/>
        <v>1</v>
      </c>
      <c r="AN17" s="46">
        <f t="shared" si="21"/>
        <v>41022.208333333336</v>
      </c>
      <c r="AO17" s="70">
        <f t="shared" si="22"/>
        <v>41022.916666666664</v>
      </c>
      <c r="AP17" s="47">
        <f t="shared" si="23"/>
        <v>41023.208333333336</v>
      </c>
      <c r="AQ17" s="48">
        <f t="shared" si="34"/>
        <v>41022.381944444445</v>
      </c>
      <c r="AR17" s="49">
        <f t="shared" si="11"/>
        <v>41022.75</v>
      </c>
      <c r="AS17" s="49">
        <f t="shared" si="35"/>
        <v>0.36805555555474712</v>
      </c>
      <c r="AT17" s="50">
        <f t="shared" si="12"/>
        <v>0.32638888888808043</v>
      </c>
      <c r="AU17" s="48">
        <f t="shared" si="13"/>
        <v>0</v>
      </c>
      <c r="AV17" s="49">
        <f t="shared" si="14"/>
        <v>0</v>
      </c>
      <c r="AW17" s="50">
        <f t="shared" si="15"/>
        <v>0</v>
      </c>
      <c r="AX17" s="48">
        <f t="shared" si="16"/>
        <v>41022.381944444445</v>
      </c>
      <c r="AY17" s="49">
        <f t="shared" si="24"/>
        <v>41022.75</v>
      </c>
      <c r="AZ17" s="50">
        <f t="shared" si="17"/>
        <v>0.32638888888808043</v>
      </c>
      <c r="BA17" s="12" t="b">
        <f t="shared" si="25"/>
        <v>0</v>
      </c>
      <c r="BB17" s="8" t="b">
        <f t="shared" si="26"/>
        <v>1</v>
      </c>
      <c r="BC17" s="51" t="b">
        <f t="shared" si="27"/>
        <v>0</v>
      </c>
      <c r="BD17" s="12">
        <f t="shared" si="28"/>
        <v>0</v>
      </c>
      <c r="BE17" s="8">
        <f t="shared" si="29"/>
        <v>0</v>
      </c>
      <c r="BF17" s="12">
        <f t="shared" si="30"/>
        <v>0</v>
      </c>
      <c r="BG17" s="51">
        <f t="shared" si="31"/>
        <v>0</v>
      </c>
      <c r="BH17" s="13">
        <f t="shared" si="32"/>
        <v>0</v>
      </c>
    </row>
    <row r="18" spans="2:60" ht="33" customHeight="1" x14ac:dyDescent="0.15">
      <c r="B18" s="130">
        <f t="shared" si="33"/>
        <v>41023</v>
      </c>
      <c r="C18" s="131"/>
      <c r="D18" s="72" t="str">
        <f t="shared" si="18"/>
        <v>Tue</v>
      </c>
      <c r="E18" s="132"/>
      <c r="F18" s="133"/>
      <c r="G18" s="134"/>
      <c r="H18" s="135"/>
      <c r="I18" s="40">
        <v>9</v>
      </c>
      <c r="J18" s="41">
        <v>0</v>
      </c>
      <c r="K18" s="40">
        <v>21</v>
      </c>
      <c r="L18" s="41">
        <v>0</v>
      </c>
      <c r="M18" s="42">
        <f t="shared" si="1"/>
        <v>12</v>
      </c>
      <c r="N18" s="43">
        <f t="shared" si="2"/>
        <v>0</v>
      </c>
      <c r="O18" s="40">
        <v>1</v>
      </c>
      <c r="P18" s="41">
        <v>30</v>
      </c>
      <c r="Q18" s="42">
        <f t="shared" si="3"/>
        <v>10</v>
      </c>
      <c r="R18" s="43">
        <f t="shared" si="4"/>
        <v>30</v>
      </c>
      <c r="S18" s="42"/>
      <c r="T18" s="43" t="str">
        <f t="shared" si="19"/>
        <v/>
      </c>
      <c r="U18" s="42" t="str">
        <f t="shared" si="5"/>
        <v/>
      </c>
      <c r="V18" s="43" t="str">
        <f t="shared" si="6"/>
        <v/>
      </c>
      <c r="W18" s="42" t="str">
        <f t="shared" si="7"/>
        <v/>
      </c>
      <c r="X18" s="43" t="str">
        <f t="shared" si="8"/>
        <v/>
      </c>
      <c r="Y18" s="42" t="str">
        <f t="shared" si="9"/>
        <v/>
      </c>
      <c r="Z18" s="43" t="str">
        <f t="shared" si="10"/>
        <v/>
      </c>
      <c r="AA18" s="136" t="s">
        <v>56</v>
      </c>
      <c r="AB18" s="136"/>
      <c r="AC18" s="136"/>
      <c r="AD18" s="136"/>
      <c r="AE18" s="137"/>
      <c r="AF18" s="29"/>
      <c r="AG18" s="29"/>
      <c r="AH18" s="29"/>
      <c r="AI18" s="29"/>
      <c r="AJ18" s="29"/>
      <c r="AK18" s="29"/>
      <c r="AL18" s="44"/>
      <c r="AM18" s="45" t="b">
        <f t="shared" si="20"/>
        <v>1</v>
      </c>
      <c r="AN18" s="46">
        <f t="shared" si="21"/>
        <v>41023.208333333336</v>
      </c>
      <c r="AO18" s="70">
        <f t="shared" si="22"/>
        <v>41023.916666666664</v>
      </c>
      <c r="AP18" s="47">
        <f t="shared" si="23"/>
        <v>41024.208333333336</v>
      </c>
      <c r="AQ18" s="48">
        <f t="shared" si="34"/>
        <v>41023.375</v>
      </c>
      <c r="AR18" s="49">
        <f t="shared" si="11"/>
        <v>41023.875</v>
      </c>
      <c r="AS18" s="49">
        <f t="shared" si="35"/>
        <v>0.5</v>
      </c>
      <c r="AT18" s="50">
        <f t="shared" si="12"/>
        <v>0.4375</v>
      </c>
      <c r="AU18" s="48">
        <f t="shared" si="13"/>
        <v>0</v>
      </c>
      <c r="AV18" s="49">
        <f t="shared" si="14"/>
        <v>0</v>
      </c>
      <c r="AW18" s="50">
        <f t="shared" si="15"/>
        <v>0</v>
      </c>
      <c r="AX18" s="48">
        <f t="shared" si="16"/>
        <v>41023.375</v>
      </c>
      <c r="AY18" s="49">
        <f t="shared" si="24"/>
        <v>41023.875</v>
      </c>
      <c r="AZ18" s="50">
        <f t="shared" si="17"/>
        <v>0.4375</v>
      </c>
      <c r="BA18" s="12" t="b">
        <f t="shared" si="25"/>
        <v>0</v>
      </c>
      <c r="BB18" s="8" t="b">
        <f t="shared" si="26"/>
        <v>1</v>
      </c>
      <c r="BC18" s="51" t="b">
        <f t="shared" si="27"/>
        <v>0</v>
      </c>
      <c r="BD18" s="12">
        <f t="shared" si="28"/>
        <v>0</v>
      </c>
      <c r="BE18" s="8">
        <f t="shared" si="29"/>
        <v>0</v>
      </c>
      <c r="BF18" s="12">
        <f t="shared" si="30"/>
        <v>0</v>
      </c>
      <c r="BG18" s="51">
        <f t="shared" si="31"/>
        <v>0</v>
      </c>
      <c r="BH18" s="13">
        <f t="shared" si="32"/>
        <v>0</v>
      </c>
    </row>
    <row r="19" spans="2:60" ht="33" customHeight="1" x14ac:dyDescent="0.15">
      <c r="B19" s="130">
        <f t="shared" si="33"/>
        <v>41024</v>
      </c>
      <c r="C19" s="131"/>
      <c r="D19" s="72" t="str">
        <f t="shared" si="18"/>
        <v>Wed</v>
      </c>
      <c r="E19" s="132"/>
      <c r="F19" s="133"/>
      <c r="G19" s="134"/>
      <c r="H19" s="135"/>
      <c r="I19" s="40"/>
      <c r="J19" s="41"/>
      <c r="K19" s="40"/>
      <c r="L19" s="41"/>
      <c r="M19" s="42" t="str">
        <f t="shared" si="1"/>
        <v/>
      </c>
      <c r="N19" s="43" t="str">
        <f t="shared" si="2"/>
        <v/>
      </c>
      <c r="O19" s="40"/>
      <c r="P19" s="41"/>
      <c r="Q19" s="42" t="str">
        <f t="shared" si="3"/>
        <v/>
      </c>
      <c r="R19" s="43" t="str">
        <f t="shared" si="4"/>
        <v/>
      </c>
      <c r="S19" s="42"/>
      <c r="T19" s="43" t="str">
        <f t="shared" si="19"/>
        <v/>
      </c>
      <c r="U19" s="42" t="str">
        <f t="shared" si="5"/>
        <v/>
      </c>
      <c r="V19" s="43" t="str">
        <f t="shared" si="6"/>
        <v/>
      </c>
      <c r="W19" s="42" t="str">
        <f t="shared" si="7"/>
        <v/>
      </c>
      <c r="X19" s="43" t="str">
        <f t="shared" si="8"/>
        <v/>
      </c>
      <c r="Y19" s="42" t="str">
        <f t="shared" si="9"/>
        <v/>
      </c>
      <c r="Z19" s="43" t="str">
        <f t="shared" si="10"/>
        <v/>
      </c>
      <c r="AA19" s="136"/>
      <c r="AB19" s="136"/>
      <c r="AC19" s="136"/>
      <c r="AD19" s="136"/>
      <c r="AE19" s="137"/>
      <c r="AF19" s="29"/>
      <c r="AG19" s="29"/>
      <c r="AH19" s="29"/>
      <c r="AI19" s="29"/>
      <c r="AJ19" s="29"/>
      <c r="AK19" s="29"/>
      <c r="AL19" s="44"/>
      <c r="AM19" s="45" t="b">
        <f t="shared" si="20"/>
        <v>0</v>
      </c>
      <c r="AN19" s="46">
        <f t="shared" si="21"/>
        <v>41024.208333333336</v>
      </c>
      <c r="AO19" s="70">
        <f t="shared" si="22"/>
        <v>41024.916666666664</v>
      </c>
      <c r="AP19" s="47">
        <f t="shared" si="23"/>
        <v>41025.208333333336</v>
      </c>
      <c r="AQ19" s="48">
        <f t="shared" si="34"/>
        <v>41024</v>
      </c>
      <c r="AR19" s="49">
        <f t="shared" si="11"/>
        <v>41025</v>
      </c>
      <c r="AS19" s="49">
        <f t="shared" si="35"/>
        <v>1</v>
      </c>
      <c r="AT19" s="50">
        <f t="shared" si="12"/>
        <v>1</v>
      </c>
      <c r="AU19" s="48">
        <f t="shared" si="13"/>
        <v>0.20833333333575865</v>
      </c>
      <c r="AV19" s="49">
        <f t="shared" si="14"/>
        <v>8.3333333335758653E-2</v>
      </c>
      <c r="AW19" s="50">
        <f t="shared" si="15"/>
        <v>0.29166666667151731</v>
      </c>
      <c r="AX19" s="48">
        <f t="shared" si="16"/>
        <v>41024.208333333336</v>
      </c>
      <c r="AY19" s="49">
        <f t="shared" si="24"/>
        <v>41025</v>
      </c>
      <c r="AZ19" s="50">
        <f t="shared" si="17"/>
        <v>0.79166666666424135</v>
      </c>
      <c r="BA19" s="12" t="b">
        <f t="shared" si="25"/>
        <v>1</v>
      </c>
      <c r="BB19" s="8" t="b">
        <f t="shared" si="26"/>
        <v>0</v>
      </c>
      <c r="BC19" s="51" t="b">
        <f t="shared" si="27"/>
        <v>0</v>
      </c>
      <c r="BD19" s="12">
        <f t="shared" si="28"/>
        <v>0</v>
      </c>
      <c r="BE19" s="8">
        <f t="shared" si="29"/>
        <v>0</v>
      </c>
      <c r="BF19" s="12">
        <f t="shared" si="30"/>
        <v>0</v>
      </c>
      <c r="BG19" s="51">
        <f t="shared" si="31"/>
        <v>0</v>
      </c>
      <c r="BH19" s="13">
        <f t="shared" si="32"/>
        <v>0</v>
      </c>
    </row>
    <row r="20" spans="2:60" ht="33" customHeight="1" x14ac:dyDescent="0.15">
      <c r="B20" s="130">
        <f t="shared" si="33"/>
        <v>41025</v>
      </c>
      <c r="C20" s="131"/>
      <c r="D20" s="72" t="str">
        <f t="shared" si="18"/>
        <v>Thu</v>
      </c>
      <c r="E20" s="132"/>
      <c r="F20" s="133"/>
      <c r="G20" s="134"/>
      <c r="H20" s="135"/>
      <c r="I20" s="40"/>
      <c r="J20" s="41"/>
      <c r="K20" s="40"/>
      <c r="L20" s="41"/>
      <c r="M20" s="42" t="str">
        <f t="shared" si="1"/>
        <v/>
      </c>
      <c r="N20" s="43" t="str">
        <f t="shared" si="2"/>
        <v/>
      </c>
      <c r="O20" s="40"/>
      <c r="P20" s="41"/>
      <c r="Q20" s="42" t="str">
        <f t="shared" si="3"/>
        <v/>
      </c>
      <c r="R20" s="43" t="str">
        <f t="shared" si="4"/>
        <v/>
      </c>
      <c r="S20" s="42"/>
      <c r="T20" s="43" t="str">
        <f t="shared" si="19"/>
        <v/>
      </c>
      <c r="U20" s="42" t="str">
        <f t="shared" si="5"/>
        <v/>
      </c>
      <c r="V20" s="43" t="str">
        <f t="shared" si="6"/>
        <v/>
      </c>
      <c r="W20" s="42" t="str">
        <f t="shared" si="7"/>
        <v/>
      </c>
      <c r="X20" s="43" t="str">
        <f t="shared" si="8"/>
        <v/>
      </c>
      <c r="Y20" s="42" t="str">
        <f t="shared" si="9"/>
        <v/>
      </c>
      <c r="Z20" s="43" t="str">
        <f t="shared" si="10"/>
        <v/>
      </c>
      <c r="AA20" s="136"/>
      <c r="AB20" s="136"/>
      <c r="AC20" s="136"/>
      <c r="AD20" s="136"/>
      <c r="AE20" s="137"/>
      <c r="AF20" s="29"/>
      <c r="AG20" s="29"/>
      <c r="AH20" s="29"/>
      <c r="AI20" s="29"/>
      <c r="AJ20" s="29"/>
      <c r="AK20" s="29"/>
      <c r="AL20" s="44"/>
      <c r="AM20" s="45" t="b">
        <f t="shared" si="20"/>
        <v>0</v>
      </c>
      <c r="AN20" s="46">
        <f t="shared" si="21"/>
        <v>41025.208333333336</v>
      </c>
      <c r="AO20" s="70">
        <f t="shared" si="22"/>
        <v>41025.916666666664</v>
      </c>
      <c r="AP20" s="47">
        <f t="shared" si="23"/>
        <v>41026.208333333336</v>
      </c>
      <c r="AQ20" s="48">
        <f t="shared" si="34"/>
        <v>41025</v>
      </c>
      <c r="AR20" s="49">
        <f t="shared" si="11"/>
        <v>41026</v>
      </c>
      <c r="AS20" s="49">
        <f t="shared" si="35"/>
        <v>1</v>
      </c>
      <c r="AT20" s="50">
        <f t="shared" si="12"/>
        <v>1</v>
      </c>
      <c r="AU20" s="48">
        <f t="shared" si="13"/>
        <v>0.20833333333575865</v>
      </c>
      <c r="AV20" s="49">
        <f t="shared" si="14"/>
        <v>8.3333333335758653E-2</v>
      </c>
      <c r="AW20" s="50">
        <f t="shared" si="15"/>
        <v>0.29166666667151731</v>
      </c>
      <c r="AX20" s="48">
        <f t="shared" si="16"/>
        <v>41025.208333333336</v>
      </c>
      <c r="AY20" s="49">
        <f t="shared" si="24"/>
        <v>41026</v>
      </c>
      <c r="AZ20" s="50">
        <f t="shared" si="17"/>
        <v>0.79166666666424135</v>
      </c>
      <c r="BA20" s="12" t="b">
        <f t="shared" si="25"/>
        <v>1</v>
      </c>
      <c r="BB20" s="8" t="b">
        <f t="shared" si="26"/>
        <v>0</v>
      </c>
      <c r="BC20" s="51" t="b">
        <f t="shared" si="27"/>
        <v>0</v>
      </c>
      <c r="BD20" s="12">
        <f t="shared" si="28"/>
        <v>0</v>
      </c>
      <c r="BE20" s="8">
        <f t="shared" si="29"/>
        <v>0</v>
      </c>
      <c r="BF20" s="12">
        <f t="shared" si="30"/>
        <v>0</v>
      </c>
      <c r="BG20" s="51">
        <f t="shared" si="31"/>
        <v>0</v>
      </c>
      <c r="BH20" s="13">
        <f t="shared" si="32"/>
        <v>0</v>
      </c>
    </row>
    <row r="21" spans="2:60" ht="33" customHeight="1" x14ac:dyDescent="0.15">
      <c r="B21" s="130">
        <f t="shared" si="33"/>
        <v>41026</v>
      </c>
      <c r="C21" s="131"/>
      <c r="D21" s="72" t="str">
        <f t="shared" si="18"/>
        <v>Fri</v>
      </c>
      <c r="E21" s="132"/>
      <c r="F21" s="133"/>
      <c r="G21" s="134"/>
      <c r="H21" s="135"/>
      <c r="I21" s="40"/>
      <c r="J21" s="41"/>
      <c r="K21" s="40"/>
      <c r="L21" s="41"/>
      <c r="M21" s="42" t="str">
        <f t="shared" si="1"/>
        <v/>
      </c>
      <c r="N21" s="43" t="str">
        <f t="shared" si="2"/>
        <v/>
      </c>
      <c r="O21" s="40"/>
      <c r="P21" s="41"/>
      <c r="Q21" s="42" t="str">
        <f t="shared" si="3"/>
        <v/>
      </c>
      <c r="R21" s="43" t="str">
        <f t="shared" si="4"/>
        <v/>
      </c>
      <c r="S21" s="42"/>
      <c r="T21" s="43" t="str">
        <f t="shared" si="19"/>
        <v/>
      </c>
      <c r="U21" s="42" t="str">
        <f t="shared" si="5"/>
        <v/>
      </c>
      <c r="V21" s="43" t="str">
        <f t="shared" si="6"/>
        <v/>
      </c>
      <c r="W21" s="42" t="str">
        <f t="shared" si="7"/>
        <v/>
      </c>
      <c r="X21" s="43" t="str">
        <f t="shared" si="8"/>
        <v/>
      </c>
      <c r="Y21" s="42" t="str">
        <f t="shared" si="9"/>
        <v/>
      </c>
      <c r="Z21" s="43" t="str">
        <f t="shared" si="10"/>
        <v/>
      </c>
      <c r="AA21" s="136"/>
      <c r="AB21" s="136"/>
      <c r="AC21" s="136"/>
      <c r="AD21" s="136"/>
      <c r="AE21" s="137"/>
      <c r="AF21" s="29"/>
      <c r="AG21" s="29"/>
      <c r="AH21" s="29"/>
      <c r="AI21" s="29"/>
      <c r="AJ21" s="29"/>
      <c r="AK21" s="29"/>
      <c r="AL21" s="44"/>
      <c r="AM21" s="45" t="b">
        <f t="shared" si="20"/>
        <v>0</v>
      </c>
      <c r="AN21" s="46">
        <f t="shared" si="21"/>
        <v>41026.208333333336</v>
      </c>
      <c r="AO21" s="70">
        <f t="shared" si="22"/>
        <v>41026.916666666664</v>
      </c>
      <c r="AP21" s="47">
        <f t="shared" si="23"/>
        <v>41027.208333333336</v>
      </c>
      <c r="AQ21" s="48">
        <f t="shared" si="34"/>
        <v>41026</v>
      </c>
      <c r="AR21" s="49">
        <f t="shared" si="11"/>
        <v>41027</v>
      </c>
      <c r="AS21" s="49">
        <f t="shared" si="35"/>
        <v>1</v>
      </c>
      <c r="AT21" s="50">
        <f t="shared" si="12"/>
        <v>1</v>
      </c>
      <c r="AU21" s="48">
        <f t="shared" si="13"/>
        <v>0.20833333333575865</v>
      </c>
      <c r="AV21" s="49">
        <f t="shared" si="14"/>
        <v>8.3333333335758653E-2</v>
      </c>
      <c r="AW21" s="50">
        <f t="shared" si="15"/>
        <v>0.29166666667151731</v>
      </c>
      <c r="AX21" s="48">
        <f t="shared" si="16"/>
        <v>41026.208333333336</v>
      </c>
      <c r="AY21" s="49">
        <f t="shared" si="24"/>
        <v>41027</v>
      </c>
      <c r="AZ21" s="50">
        <f t="shared" si="17"/>
        <v>0.79166666666424135</v>
      </c>
      <c r="BA21" s="12" t="b">
        <f t="shared" si="25"/>
        <v>1</v>
      </c>
      <c r="BB21" s="8" t="b">
        <f t="shared" si="26"/>
        <v>0</v>
      </c>
      <c r="BC21" s="51" t="b">
        <f t="shared" si="27"/>
        <v>0</v>
      </c>
      <c r="BD21" s="12">
        <f t="shared" si="28"/>
        <v>0</v>
      </c>
      <c r="BE21" s="8">
        <f t="shared" si="29"/>
        <v>0</v>
      </c>
      <c r="BF21" s="12">
        <f t="shared" si="30"/>
        <v>0</v>
      </c>
      <c r="BG21" s="51">
        <f t="shared" si="31"/>
        <v>0</v>
      </c>
      <c r="BH21" s="13">
        <f t="shared" si="32"/>
        <v>0</v>
      </c>
    </row>
    <row r="22" spans="2:60" ht="33" customHeight="1" x14ac:dyDescent="0.15">
      <c r="B22" s="130">
        <f t="shared" si="33"/>
        <v>41027</v>
      </c>
      <c r="C22" s="131"/>
      <c r="D22" s="72" t="str">
        <f t="shared" si="18"/>
        <v>Sat</v>
      </c>
      <c r="E22" s="132"/>
      <c r="F22" s="133"/>
      <c r="G22" s="134"/>
      <c r="H22" s="135"/>
      <c r="I22" s="40"/>
      <c r="J22" s="41"/>
      <c r="K22" s="40"/>
      <c r="L22" s="41"/>
      <c r="M22" s="42" t="str">
        <f t="shared" si="1"/>
        <v/>
      </c>
      <c r="N22" s="43" t="str">
        <f t="shared" si="2"/>
        <v/>
      </c>
      <c r="O22" s="40"/>
      <c r="P22" s="41"/>
      <c r="Q22" s="42" t="str">
        <f t="shared" si="3"/>
        <v/>
      </c>
      <c r="R22" s="43" t="str">
        <f t="shared" si="4"/>
        <v/>
      </c>
      <c r="S22" s="42"/>
      <c r="T22" s="43" t="str">
        <f t="shared" si="19"/>
        <v/>
      </c>
      <c r="U22" s="42" t="str">
        <f t="shared" si="5"/>
        <v/>
      </c>
      <c r="V22" s="43" t="str">
        <f t="shared" si="6"/>
        <v/>
      </c>
      <c r="W22" s="42" t="str">
        <f t="shared" si="7"/>
        <v/>
      </c>
      <c r="X22" s="43" t="str">
        <f t="shared" si="8"/>
        <v/>
      </c>
      <c r="Y22" s="42" t="str">
        <f t="shared" si="9"/>
        <v/>
      </c>
      <c r="Z22" s="43" t="str">
        <f t="shared" si="10"/>
        <v/>
      </c>
      <c r="AA22" s="136"/>
      <c r="AB22" s="136"/>
      <c r="AC22" s="136"/>
      <c r="AD22" s="136"/>
      <c r="AE22" s="137"/>
      <c r="AF22" s="29"/>
      <c r="AG22" s="29"/>
      <c r="AH22" s="29"/>
      <c r="AI22" s="29"/>
      <c r="AJ22" s="29"/>
      <c r="AK22" s="29"/>
      <c r="AL22" s="44"/>
      <c r="AM22" s="45" t="b">
        <f t="shared" si="20"/>
        <v>0</v>
      </c>
      <c r="AN22" s="46">
        <f t="shared" si="21"/>
        <v>41027.208333333336</v>
      </c>
      <c r="AO22" s="70">
        <f t="shared" si="22"/>
        <v>41027.916666666664</v>
      </c>
      <c r="AP22" s="47">
        <f t="shared" si="23"/>
        <v>41028.208333333336</v>
      </c>
      <c r="AQ22" s="48">
        <f t="shared" si="34"/>
        <v>41027</v>
      </c>
      <c r="AR22" s="49">
        <f t="shared" si="11"/>
        <v>41028</v>
      </c>
      <c r="AS22" s="49">
        <f t="shared" si="35"/>
        <v>1</v>
      </c>
      <c r="AT22" s="50">
        <f t="shared" si="12"/>
        <v>1</v>
      </c>
      <c r="AU22" s="48">
        <f t="shared" si="13"/>
        <v>0.20833333333575865</v>
      </c>
      <c r="AV22" s="49">
        <f t="shared" si="14"/>
        <v>8.3333333335758653E-2</v>
      </c>
      <c r="AW22" s="50">
        <f t="shared" si="15"/>
        <v>0.29166666667151731</v>
      </c>
      <c r="AX22" s="48">
        <f t="shared" si="16"/>
        <v>41027.208333333336</v>
      </c>
      <c r="AY22" s="49">
        <f t="shared" si="24"/>
        <v>41028</v>
      </c>
      <c r="AZ22" s="50">
        <f t="shared" si="17"/>
        <v>0.79166666666424135</v>
      </c>
      <c r="BA22" s="12" t="b">
        <f t="shared" si="25"/>
        <v>1</v>
      </c>
      <c r="BB22" s="8" t="b">
        <f t="shared" si="26"/>
        <v>0</v>
      </c>
      <c r="BC22" s="51" t="b">
        <f t="shared" si="27"/>
        <v>0</v>
      </c>
      <c r="BD22" s="12">
        <f t="shared" si="28"/>
        <v>0</v>
      </c>
      <c r="BE22" s="8">
        <f t="shared" si="29"/>
        <v>0</v>
      </c>
      <c r="BF22" s="12">
        <f t="shared" si="30"/>
        <v>0</v>
      </c>
      <c r="BG22" s="51">
        <f t="shared" si="31"/>
        <v>0</v>
      </c>
      <c r="BH22" s="13">
        <f t="shared" si="32"/>
        <v>0</v>
      </c>
    </row>
    <row r="23" spans="2:60" ht="33" customHeight="1" x14ac:dyDescent="0.15">
      <c r="B23" s="130">
        <f t="shared" si="33"/>
        <v>41028</v>
      </c>
      <c r="C23" s="131"/>
      <c r="D23" s="72" t="str">
        <f t="shared" si="18"/>
        <v>Sun</v>
      </c>
      <c r="E23" s="132"/>
      <c r="F23" s="133"/>
      <c r="G23" s="134"/>
      <c r="H23" s="135"/>
      <c r="I23" s="40"/>
      <c r="J23" s="41"/>
      <c r="K23" s="40"/>
      <c r="L23" s="41"/>
      <c r="M23" s="42" t="str">
        <f t="shared" si="1"/>
        <v/>
      </c>
      <c r="N23" s="43" t="str">
        <f t="shared" si="2"/>
        <v/>
      </c>
      <c r="O23" s="40"/>
      <c r="P23" s="41"/>
      <c r="Q23" s="42" t="str">
        <f t="shared" si="3"/>
        <v/>
      </c>
      <c r="R23" s="43" t="str">
        <f t="shared" si="4"/>
        <v/>
      </c>
      <c r="S23" s="42"/>
      <c r="T23" s="43" t="str">
        <f t="shared" si="19"/>
        <v/>
      </c>
      <c r="U23" s="42" t="str">
        <f t="shared" si="5"/>
        <v/>
      </c>
      <c r="V23" s="43" t="str">
        <f t="shared" si="6"/>
        <v/>
      </c>
      <c r="W23" s="42" t="str">
        <f t="shared" si="7"/>
        <v/>
      </c>
      <c r="X23" s="43" t="str">
        <f t="shared" si="8"/>
        <v/>
      </c>
      <c r="Y23" s="42" t="str">
        <f t="shared" si="9"/>
        <v/>
      </c>
      <c r="Z23" s="43" t="str">
        <f t="shared" si="10"/>
        <v/>
      </c>
      <c r="AA23" s="136"/>
      <c r="AB23" s="136"/>
      <c r="AC23" s="136"/>
      <c r="AD23" s="136"/>
      <c r="AE23" s="137"/>
      <c r="AF23" s="29"/>
      <c r="AG23" s="29"/>
      <c r="AH23" s="29"/>
      <c r="AI23" s="29"/>
      <c r="AJ23" s="29"/>
      <c r="AK23" s="29"/>
      <c r="AL23" s="44"/>
      <c r="AM23" s="45" t="b">
        <f t="shared" si="20"/>
        <v>0</v>
      </c>
      <c r="AN23" s="46">
        <f t="shared" si="21"/>
        <v>41028.208333333336</v>
      </c>
      <c r="AO23" s="70">
        <f t="shared" si="22"/>
        <v>41028.916666666664</v>
      </c>
      <c r="AP23" s="47">
        <f t="shared" si="23"/>
        <v>41029.208333333336</v>
      </c>
      <c r="AQ23" s="48">
        <f t="shared" si="34"/>
        <v>41028</v>
      </c>
      <c r="AR23" s="49">
        <f t="shared" si="11"/>
        <v>41029</v>
      </c>
      <c r="AS23" s="49">
        <f t="shared" si="35"/>
        <v>1</v>
      </c>
      <c r="AT23" s="50">
        <f t="shared" si="12"/>
        <v>1</v>
      </c>
      <c r="AU23" s="48">
        <f t="shared" si="13"/>
        <v>0.20833333333575865</v>
      </c>
      <c r="AV23" s="49">
        <f t="shared" si="14"/>
        <v>8.3333333335758653E-2</v>
      </c>
      <c r="AW23" s="50">
        <f t="shared" si="15"/>
        <v>0.29166666667151731</v>
      </c>
      <c r="AX23" s="48">
        <f t="shared" si="16"/>
        <v>41028.208333333336</v>
      </c>
      <c r="AY23" s="49">
        <f t="shared" si="24"/>
        <v>41029</v>
      </c>
      <c r="AZ23" s="50">
        <f t="shared" si="17"/>
        <v>0.79166666666424135</v>
      </c>
      <c r="BA23" s="12" t="b">
        <f t="shared" si="25"/>
        <v>1</v>
      </c>
      <c r="BB23" s="8" t="b">
        <f t="shared" si="26"/>
        <v>0</v>
      </c>
      <c r="BC23" s="51" t="b">
        <f t="shared" si="27"/>
        <v>0</v>
      </c>
      <c r="BD23" s="12">
        <f t="shared" si="28"/>
        <v>0</v>
      </c>
      <c r="BE23" s="8">
        <f t="shared" si="29"/>
        <v>0</v>
      </c>
      <c r="BF23" s="12">
        <f t="shared" si="30"/>
        <v>0</v>
      </c>
      <c r="BG23" s="51">
        <f t="shared" si="31"/>
        <v>0</v>
      </c>
      <c r="BH23" s="13">
        <f t="shared" si="32"/>
        <v>0</v>
      </c>
    </row>
    <row r="24" spans="2:60" ht="33" customHeight="1" x14ac:dyDescent="0.15">
      <c r="B24" s="130">
        <f t="shared" si="33"/>
        <v>41029</v>
      </c>
      <c r="C24" s="131"/>
      <c r="D24" s="72" t="str">
        <f t="shared" si="18"/>
        <v>Mon</v>
      </c>
      <c r="E24" s="132"/>
      <c r="F24" s="133"/>
      <c r="G24" s="134"/>
      <c r="H24" s="135"/>
      <c r="I24" s="40"/>
      <c r="J24" s="41"/>
      <c r="K24" s="40"/>
      <c r="L24" s="41"/>
      <c r="M24" s="42" t="str">
        <f t="shared" si="1"/>
        <v/>
      </c>
      <c r="N24" s="43" t="str">
        <f t="shared" si="2"/>
        <v/>
      </c>
      <c r="O24" s="40"/>
      <c r="P24" s="41"/>
      <c r="Q24" s="42" t="str">
        <f t="shared" si="3"/>
        <v/>
      </c>
      <c r="R24" s="43" t="str">
        <f t="shared" si="4"/>
        <v/>
      </c>
      <c r="S24" s="42"/>
      <c r="T24" s="43" t="str">
        <f t="shared" si="19"/>
        <v/>
      </c>
      <c r="U24" s="42" t="str">
        <f t="shared" si="5"/>
        <v/>
      </c>
      <c r="V24" s="43" t="str">
        <f t="shared" si="6"/>
        <v/>
      </c>
      <c r="W24" s="42" t="str">
        <f t="shared" si="7"/>
        <v/>
      </c>
      <c r="X24" s="43" t="str">
        <f t="shared" si="8"/>
        <v/>
      </c>
      <c r="Y24" s="42" t="str">
        <f t="shared" si="9"/>
        <v/>
      </c>
      <c r="Z24" s="43" t="str">
        <f t="shared" si="10"/>
        <v/>
      </c>
      <c r="AA24" s="136"/>
      <c r="AB24" s="136"/>
      <c r="AC24" s="136"/>
      <c r="AD24" s="136"/>
      <c r="AE24" s="137"/>
      <c r="AF24" s="29"/>
      <c r="AG24" s="29"/>
      <c r="AH24" s="29"/>
      <c r="AI24" s="29"/>
      <c r="AJ24" s="29"/>
      <c r="AK24" s="29"/>
      <c r="AL24" s="44"/>
      <c r="AM24" s="45" t="b">
        <f t="shared" si="20"/>
        <v>0</v>
      </c>
      <c r="AN24" s="46">
        <f t="shared" si="21"/>
        <v>41029.208333333336</v>
      </c>
      <c r="AO24" s="70">
        <f t="shared" si="22"/>
        <v>41029.916666666664</v>
      </c>
      <c r="AP24" s="47">
        <f t="shared" si="23"/>
        <v>41030.208333333336</v>
      </c>
      <c r="AQ24" s="48">
        <f t="shared" si="34"/>
        <v>41029</v>
      </c>
      <c r="AR24" s="49">
        <f t="shared" si="11"/>
        <v>41030</v>
      </c>
      <c r="AS24" s="49">
        <f t="shared" si="35"/>
        <v>1</v>
      </c>
      <c r="AT24" s="50">
        <f t="shared" si="12"/>
        <v>1</v>
      </c>
      <c r="AU24" s="48">
        <f t="shared" si="13"/>
        <v>0.20833333333575865</v>
      </c>
      <c r="AV24" s="49">
        <f t="shared" si="14"/>
        <v>8.3333333335758653E-2</v>
      </c>
      <c r="AW24" s="50">
        <f t="shared" si="15"/>
        <v>0.29166666667151731</v>
      </c>
      <c r="AX24" s="48">
        <f t="shared" si="16"/>
        <v>41029.208333333336</v>
      </c>
      <c r="AY24" s="49">
        <f t="shared" si="24"/>
        <v>41030</v>
      </c>
      <c r="AZ24" s="50">
        <f t="shared" si="17"/>
        <v>0.79166666666424135</v>
      </c>
      <c r="BA24" s="12" t="b">
        <f t="shared" si="25"/>
        <v>1</v>
      </c>
      <c r="BB24" s="8" t="b">
        <f t="shared" si="26"/>
        <v>0</v>
      </c>
      <c r="BC24" s="51" t="b">
        <f t="shared" si="27"/>
        <v>0</v>
      </c>
      <c r="BD24" s="12">
        <f t="shared" si="28"/>
        <v>0</v>
      </c>
      <c r="BE24" s="8">
        <f t="shared" si="29"/>
        <v>0</v>
      </c>
      <c r="BF24" s="12">
        <f t="shared" si="30"/>
        <v>0</v>
      </c>
      <c r="BG24" s="51">
        <f t="shared" si="31"/>
        <v>0</v>
      </c>
      <c r="BH24" s="13">
        <f t="shared" si="32"/>
        <v>0</v>
      </c>
    </row>
    <row r="25" spans="2:60" ht="33" customHeight="1" x14ac:dyDescent="0.15">
      <c r="B25" s="130">
        <f t="shared" si="33"/>
        <v>41030</v>
      </c>
      <c r="C25" s="131"/>
      <c r="D25" s="72" t="str">
        <f t="shared" si="18"/>
        <v>Tue</v>
      </c>
      <c r="E25" s="132"/>
      <c r="F25" s="133"/>
      <c r="G25" s="134"/>
      <c r="H25" s="135"/>
      <c r="I25" s="40"/>
      <c r="J25" s="41"/>
      <c r="K25" s="40"/>
      <c r="L25" s="41"/>
      <c r="M25" s="42" t="str">
        <f t="shared" si="1"/>
        <v/>
      </c>
      <c r="N25" s="43" t="str">
        <f t="shared" si="2"/>
        <v/>
      </c>
      <c r="O25" s="40"/>
      <c r="P25" s="41"/>
      <c r="Q25" s="42" t="str">
        <f t="shared" si="3"/>
        <v/>
      </c>
      <c r="R25" s="43" t="str">
        <f t="shared" si="4"/>
        <v/>
      </c>
      <c r="S25" s="42"/>
      <c r="T25" s="43" t="str">
        <f t="shared" si="19"/>
        <v/>
      </c>
      <c r="U25" s="42" t="str">
        <f t="shared" si="5"/>
        <v/>
      </c>
      <c r="V25" s="43" t="str">
        <f t="shared" si="6"/>
        <v/>
      </c>
      <c r="W25" s="42" t="str">
        <f t="shared" si="7"/>
        <v/>
      </c>
      <c r="X25" s="43" t="str">
        <f t="shared" si="8"/>
        <v/>
      </c>
      <c r="Y25" s="42" t="str">
        <f t="shared" si="9"/>
        <v/>
      </c>
      <c r="Z25" s="43" t="str">
        <f t="shared" si="10"/>
        <v/>
      </c>
      <c r="AA25" s="136"/>
      <c r="AB25" s="136"/>
      <c r="AC25" s="136"/>
      <c r="AD25" s="136"/>
      <c r="AE25" s="137"/>
      <c r="AF25" s="29"/>
      <c r="AG25" s="29"/>
      <c r="AH25" s="29"/>
      <c r="AI25" s="29"/>
      <c r="AJ25" s="29"/>
      <c r="AK25" s="29"/>
      <c r="AL25" s="44"/>
      <c r="AM25" s="45" t="b">
        <f t="shared" si="20"/>
        <v>0</v>
      </c>
      <c r="AN25" s="46">
        <f t="shared" si="21"/>
        <v>41030.208333333336</v>
      </c>
      <c r="AO25" s="70">
        <f t="shared" si="22"/>
        <v>41030.916666666664</v>
      </c>
      <c r="AP25" s="47">
        <f t="shared" si="23"/>
        <v>41031.208333333336</v>
      </c>
      <c r="AQ25" s="48">
        <f t="shared" si="34"/>
        <v>41030</v>
      </c>
      <c r="AR25" s="49">
        <f t="shared" si="11"/>
        <v>41031</v>
      </c>
      <c r="AS25" s="49">
        <f t="shared" si="35"/>
        <v>1</v>
      </c>
      <c r="AT25" s="50">
        <f t="shared" si="12"/>
        <v>1</v>
      </c>
      <c r="AU25" s="48">
        <f t="shared" si="13"/>
        <v>0.20833333333575865</v>
      </c>
      <c r="AV25" s="49">
        <f t="shared" si="14"/>
        <v>8.3333333335758653E-2</v>
      </c>
      <c r="AW25" s="50">
        <f t="shared" si="15"/>
        <v>0.29166666667151731</v>
      </c>
      <c r="AX25" s="48">
        <f t="shared" si="16"/>
        <v>41030.208333333336</v>
      </c>
      <c r="AY25" s="49">
        <f t="shared" si="24"/>
        <v>41031</v>
      </c>
      <c r="AZ25" s="50">
        <f t="shared" si="17"/>
        <v>0.79166666666424135</v>
      </c>
      <c r="BA25" s="12" t="b">
        <f t="shared" si="25"/>
        <v>1</v>
      </c>
      <c r="BB25" s="8" t="b">
        <f t="shared" si="26"/>
        <v>0</v>
      </c>
      <c r="BC25" s="51" t="b">
        <f t="shared" si="27"/>
        <v>0</v>
      </c>
      <c r="BD25" s="12">
        <f t="shared" si="28"/>
        <v>0</v>
      </c>
      <c r="BE25" s="8">
        <f t="shared" si="29"/>
        <v>0</v>
      </c>
      <c r="BF25" s="12">
        <f t="shared" si="30"/>
        <v>0</v>
      </c>
      <c r="BG25" s="51">
        <f t="shared" si="31"/>
        <v>0</v>
      </c>
      <c r="BH25" s="13">
        <f t="shared" si="32"/>
        <v>0</v>
      </c>
    </row>
    <row r="26" spans="2:60" ht="33" customHeight="1" x14ac:dyDescent="0.15">
      <c r="B26" s="130">
        <f t="shared" si="33"/>
        <v>41031</v>
      </c>
      <c r="C26" s="131"/>
      <c r="D26" s="72" t="str">
        <f t="shared" si="18"/>
        <v>Wed</v>
      </c>
      <c r="E26" s="132"/>
      <c r="F26" s="133"/>
      <c r="G26" s="134"/>
      <c r="H26" s="135"/>
      <c r="I26" s="40"/>
      <c r="J26" s="41"/>
      <c r="K26" s="40"/>
      <c r="L26" s="41"/>
      <c r="M26" s="42" t="str">
        <f t="shared" si="1"/>
        <v/>
      </c>
      <c r="N26" s="43" t="str">
        <f t="shared" si="2"/>
        <v/>
      </c>
      <c r="O26" s="40"/>
      <c r="P26" s="41"/>
      <c r="Q26" s="42" t="str">
        <f t="shared" si="3"/>
        <v/>
      </c>
      <c r="R26" s="43" t="str">
        <f t="shared" si="4"/>
        <v/>
      </c>
      <c r="S26" s="42"/>
      <c r="T26" s="43" t="str">
        <f t="shared" si="19"/>
        <v/>
      </c>
      <c r="U26" s="42" t="str">
        <f t="shared" si="5"/>
        <v/>
      </c>
      <c r="V26" s="43" t="str">
        <f t="shared" si="6"/>
        <v/>
      </c>
      <c r="W26" s="42" t="str">
        <f t="shared" si="7"/>
        <v/>
      </c>
      <c r="X26" s="43" t="str">
        <f t="shared" si="8"/>
        <v/>
      </c>
      <c r="Y26" s="42" t="str">
        <f t="shared" si="9"/>
        <v/>
      </c>
      <c r="Z26" s="43" t="str">
        <f t="shared" si="10"/>
        <v/>
      </c>
      <c r="AA26" s="136"/>
      <c r="AB26" s="136"/>
      <c r="AC26" s="136"/>
      <c r="AD26" s="136"/>
      <c r="AE26" s="137"/>
      <c r="AF26" s="29"/>
      <c r="AG26" s="29"/>
      <c r="AH26" s="29"/>
      <c r="AI26" s="29"/>
      <c r="AJ26" s="29"/>
      <c r="AK26" s="29"/>
      <c r="AL26" s="44"/>
      <c r="AM26" s="45" t="b">
        <f t="shared" si="20"/>
        <v>0</v>
      </c>
      <c r="AN26" s="46">
        <f t="shared" si="21"/>
        <v>41031.208333333336</v>
      </c>
      <c r="AO26" s="70">
        <f t="shared" si="22"/>
        <v>41031.916666666664</v>
      </c>
      <c r="AP26" s="47">
        <f t="shared" si="23"/>
        <v>41032.208333333336</v>
      </c>
      <c r="AQ26" s="48">
        <f t="shared" si="34"/>
        <v>41031</v>
      </c>
      <c r="AR26" s="49">
        <f t="shared" si="11"/>
        <v>41032</v>
      </c>
      <c r="AS26" s="49">
        <f t="shared" si="35"/>
        <v>1</v>
      </c>
      <c r="AT26" s="50">
        <f t="shared" si="12"/>
        <v>1</v>
      </c>
      <c r="AU26" s="48">
        <f t="shared" si="13"/>
        <v>0.20833333333575865</v>
      </c>
      <c r="AV26" s="49">
        <f t="shared" si="14"/>
        <v>8.3333333335758653E-2</v>
      </c>
      <c r="AW26" s="50">
        <f t="shared" si="15"/>
        <v>0.29166666667151731</v>
      </c>
      <c r="AX26" s="48">
        <f t="shared" si="16"/>
        <v>41031.208333333336</v>
      </c>
      <c r="AY26" s="49">
        <f t="shared" si="24"/>
        <v>41032</v>
      </c>
      <c r="AZ26" s="50">
        <f t="shared" si="17"/>
        <v>0.79166666666424135</v>
      </c>
      <c r="BA26" s="12" t="b">
        <f t="shared" si="25"/>
        <v>1</v>
      </c>
      <c r="BB26" s="8" t="b">
        <f t="shared" si="26"/>
        <v>0</v>
      </c>
      <c r="BC26" s="51" t="b">
        <f t="shared" si="27"/>
        <v>0</v>
      </c>
      <c r="BD26" s="12">
        <f t="shared" si="28"/>
        <v>0</v>
      </c>
      <c r="BE26" s="8">
        <f t="shared" si="29"/>
        <v>0</v>
      </c>
      <c r="BF26" s="12">
        <f t="shared" si="30"/>
        <v>0</v>
      </c>
      <c r="BG26" s="51">
        <f t="shared" si="31"/>
        <v>0</v>
      </c>
      <c r="BH26" s="13">
        <f t="shared" si="32"/>
        <v>0</v>
      </c>
    </row>
    <row r="27" spans="2:60" ht="33" customHeight="1" x14ac:dyDescent="0.15">
      <c r="B27" s="130">
        <f t="shared" si="33"/>
        <v>41032</v>
      </c>
      <c r="C27" s="131"/>
      <c r="D27" s="72" t="str">
        <f t="shared" si="18"/>
        <v>Thu</v>
      </c>
      <c r="E27" s="132"/>
      <c r="F27" s="133"/>
      <c r="G27" s="134"/>
      <c r="H27" s="135"/>
      <c r="I27" s="40"/>
      <c r="J27" s="41"/>
      <c r="K27" s="40"/>
      <c r="L27" s="41"/>
      <c r="M27" s="42" t="str">
        <f t="shared" si="1"/>
        <v/>
      </c>
      <c r="N27" s="43" t="str">
        <f t="shared" si="2"/>
        <v/>
      </c>
      <c r="O27" s="40"/>
      <c r="P27" s="41"/>
      <c r="Q27" s="42" t="str">
        <f t="shared" si="3"/>
        <v/>
      </c>
      <c r="R27" s="43" t="str">
        <f t="shared" si="4"/>
        <v/>
      </c>
      <c r="S27" s="42"/>
      <c r="T27" s="43" t="str">
        <f t="shared" si="19"/>
        <v/>
      </c>
      <c r="U27" s="42" t="str">
        <f t="shared" si="5"/>
        <v/>
      </c>
      <c r="V27" s="43" t="str">
        <f t="shared" si="6"/>
        <v/>
      </c>
      <c r="W27" s="42" t="str">
        <f t="shared" si="7"/>
        <v/>
      </c>
      <c r="X27" s="43" t="str">
        <f t="shared" si="8"/>
        <v/>
      </c>
      <c r="Y27" s="42" t="str">
        <f t="shared" si="9"/>
        <v/>
      </c>
      <c r="Z27" s="43" t="str">
        <f t="shared" si="10"/>
        <v/>
      </c>
      <c r="AA27" s="136"/>
      <c r="AB27" s="136"/>
      <c r="AC27" s="136"/>
      <c r="AD27" s="136"/>
      <c r="AE27" s="137"/>
      <c r="AF27" s="29"/>
      <c r="AG27" s="29"/>
      <c r="AH27" s="29"/>
      <c r="AI27" s="29"/>
      <c r="AJ27" s="29"/>
      <c r="AK27" s="29"/>
      <c r="AL27" s="44"/>
      <c r="AM27" s="45" t="b">
        <f t="shared" si="20"/>
        <v>0</v>
      </c>
      <c r="AN27" s="46">
        <f t="shared" si="21"/>
        <v>41032.208333333336</v>
      </c>
      <c r="AO27" s="70">
        <f t="shared" si="22"/>
        <v>41032.916666666664</v>
      </c>
      <c r="AP27" s="47">
        <f t="shared" si="23"/>
        <v>41033.208333333336</v>
      </c>
      <c r="AQ27" s="48">
        <f t="shared" si="34"/>
        <v>41032</v>
      </c>
      <c r="AR27" s="49">
        <f t="shared" si="11"/>
        <v>41033</v>
      </c>
      <c r="AS27" s="49">
        <f t="shared" si="35"/>
        <v>1</v>
      </c>
      <c r="AT27" s="50">
        <f t="shared" si="12"/>
        <v>1</v>
      </c>
      <c r="AU27" s="48">
        <f t="shared" si="13"/>
        <v>0.20833333333575865</v>
      </c>
      <c r="AV27" s="49">
        <f t="shared" si="14"/>
        <v>8.3333333335758653E-2</v>
      </c>
      <c r="AW27" s="50">
        <f t="shared" si="15"/>
        <v>0.29166666667151731</v>
      </c>
      <c r="AX27" s="48">
        <f t="shared" si="16"/>
        <v>41032.208333333336</v>
      </c>
      <c r="AY27" s="49">
        <f t="shared" si="24"/>
        <v>41033</v>
      </c>
      <c r="AZ27" s="50">
        <f t="shared" si="17"/>
        <v>0.79166666666424135</v>
      </c>
      <c r="BA27" s="12" t="b">
        <f t="shared" si="25"/>
        <v>1</v>
      </c>
      <c r="BB27" s="8" t="b">
        <f t="shared" si="26"/>
        <v>0</v>
      </c>
      <c r="BC27" s="51" t="b">
        <f t="shared" si="27"/>
        <v>0</v>
      </c>
      <c r="BD27" s="12">
        <f t="shared" si="28"/>
        <v>0</v>
      </c>
      <c r="BE27" s="8">
        <f t="shared" si="29"/>
        <v>0</v>
      </c>
      <c r="BF27" s="12">
        <f t="shared" si="30"/>
        <v>0</v>
      </c>
      <c r="BG27" s="51">
        <f t="shared" si="31"/>
        <v>0</v>
      </c>
      <c r="BH27" s="13">
        <f t="shared" si="32"/>
        <v>0</v>
      </c>
    </row>
    <row r="28" spans="2:60" ht="33" customHeight="1" x14ac:dyDescent="0.15">
      <c r="B28" s="130">
        <f t="shared" si="33"/>
        <v>41033</v>
      </c>
      <c r="C28" s="131"/>
      <c r="D28" s="72" t="str">
        <f t="shared" si="18"/>
        <v>Fri</v>
      </c>
      <c r="E28" s="132"/>
      <c r="F28" s="133"/>
      <c r="G28" s="134"/>
      <c r="H28" s="135"/>
      <c r="I28" s="40"/>
      <c r="J28" s="41"/>
      <c r="K28" s="40"/>
      <c r="L28" s="41"/>
      <c r="M28" s="42" t="str">
        <f t="shared" si="1"/>
        <v/>
      </c>
      <c r="N28" s="43" t="str">
        <f t="shared" si="2"/>
        <v/>
      </c>
      <c r="O28" s="40"/>
      <c r="P28" s="41"/>
      <c r="Q28" s="42" t="str">
        <f t="shared" si="3"/>
        <v/>
      </c>
      <c r="R28" s="43" t="str">
        <f t="shared" si="4"/>
        <v/>
      </c>
      <c r="S28" s="42"/>
      <c r="T28" s="43" t="str">
        <f t="shared" si="19"/>
        <v/>
      </c>
      <c r="U28" s="42" t="str">
        <f t="shared" si="5"/>
        <v/>
      </c>
      <c r="V28" s="43" t="str">
        <f t="shared" si="6"/>
        <v/>
      </c>
      <c r="W28" s="42" t="str">
        <f t="shared" si="7"/>
        <v/>
      </c>
      <c r="X28" s="43" t="str">
        <f t="shared" si="8"/>
        <v/>
      </c>
      <c r="Y28" s="42" t="str">
        <f t="shared" si="9"/>
        <v/>
      </c>
      <c r="Z28" s="43" t="str">
        <f t="shared" si="10"/>
        <v/>
      </c>
      <c r="AA28" s="136"/>
      <c r="AB28" s="136"/>
      <c r="AC28" s="136"/>
      <c r="AD28" s="136"/>
      <c r="AE28" s="137"/>
      <c r="AF28" s="29"/>
      <c r="AG28" s="29"/>
      <c r="AH28" s="29"/>
      <c r="AI28" s="29"/>
      <c r="AJ28" s="29"/>
      <c r="AK28" s="29"/>
      <c r="AL28" s="44"/>
      <c r="AM28" s="45" t="b">
        <f t="shared" si="20"/>
        <v>0</v>
      </c>
      <c r="AN28" s="46">
        <f t="shared" si="21"/>
        <v>41033.208333333336</v>
      </c>
      <c r="AO28" s="70">
        <f t="shared" si="22"/>
        <v>41033.916666666664</v>
      </c>
      <c r="AP28" s="47">
        <f t="shared" si="23"/>
        <v>41034.208333333336</v>
      </c>
      <c r="AQ28" s="48">
        <f t="shared" si="34"/>
        <v>41033</v>
      </c>
      <c r="AR28" s="49">
        <f t="shared" si="11"/>
        <v>41034</v>
      </c>
      <c r="AS28" s="49">
        <f t="shared" si="35"/>
        <v>1</v>
      </c>
      <c r="AT28" s="50">
        <f t="shared" si="12"/>
        <v>1</v>
      </c>
      <c r="AU28" s="48">
        <f t="shared" si="13"/>
        <v>0.20833333333575865</v>
      </c>
      <c r="AV28" s="49">
        <f t="shared" si="14"/>
        <v>8.3333333335758653E-2</v>
      </c>
      <c r="AW28" s="50">
        <f t="shared" si="15"/>
        <v>0.29166666667151731</v>
      </c>
      <c r="AX28" s="48">
        <f t="shared" si="16"/>
        <v>41033.208333333336</v>
      </c>
      <c r="AY28" s="49">
        <f t="shared" si="24"/>
        <v>41034</v>
      </c>
      <c r="AZ28" s="50">
        <f t="shared" si="17"/>
        <v>0.79166666666424135</v>
      </c>
      <c r="BA28" s="12" t="b">
        <f t="shared" si="25"/>
        <v>1</v>
      </c>
      <c r="BB28" s="8" t="b">
        <f t="shared" si="26"/>
        <v>0</v>
      </c>
      <c r="BC28" s="51" t="b">
        <f t="shared" si="27"/>
        <v>0</v>
      </c>
      <c r="BD28" s="12">
        <f t="shared" si="28"/>
        <v>0</v>
      </c>
      <c r="BE28" s="8">
        <f t="shared" si="29"/>
        <v>0</v>
      </c>
      <c r="BF28" s="12">
        <f t="shared" si="30"/>
        <v>0</v>
      </c>
      <c r="BG28" s="51">
        <f t="shared" si="31"/>
        <v>0</v>
      </c>
      <c r="BH28" s="13">
        <f t="shared" si="32"/>
        <v>0</v>
      </c>
    </row>
    <row r="29" spans="2:60" ht="33" customHeight="1" x14ac:dyDescent="0.15">
      <c r="B29" s="130">
        <f t="shared" si="33"/>
        <v>41034</v>
      </c>
      <c r="C29" s="131"/>
      <c r="D29" s="72" t="str">
        <f t="shared" si="18"/>
        <v>Sat</v>
      </c>
      <c r="E29" s="132"/>
      <c r="F29" s="133"/>
      <c r="G29" s="134"/>
      <c r="H29" s="135"/>
      <c r="I29" s="40"/>
      <c r="J29" s="41"/>
      <c r="K29" s="40"/>
      <c r="L29" s="41"/>
      <c r="M29" s="42" t="str">
        <f t="shared" si="1"/>
        <v/>
      </c>
      <c r="N29" s="43" t="str">
        <f t="shared" si="2"/>
        <v/>
      </c>
      <c r="O29" s="40"/>
      <c r="P29" s="41"/>
      <c r="Q29" s="42" t="str">
        <f t="shared" si="3"/>
        <v/>
      </c>
      <c r="R29" s="43" t="str">
        <f t="shared" si="4"/>
        <v/>
      </c>
      <c r="S29" s="42"/>
      <c r="T29" s="43" t="str">
        <f t="shared" si="19"/>
        <v/>
      </c>
      <c r="U29" s="42" t="str">
        <f t="shared" si="5"/>
        <v/>
      </c>
      <c r="V29" s="43" t="str">
        <f t="shared" si="6"/>
        <v/>
      </c>
      <c r="W29" s="42" t="str">
        <f t="shared" si="7"/>
        <v/>
      </c>
      <c r="X29" s="43" t="str">
        <f t="shared" si="8"/>
        <v/>
      </c>
      <c r="Y29" s="42" t="str">
        <f t="shared" si="9"/>
        <v/>
      </c>
      <c r="Z29" s="43" t="str">
        <f t="shared" si="10"/>
        <v/>
      </c>
      <c r="AA29" s="136"/>
      <c r="AB29" s="136"/>
      <c r="AC29" s="136"/>
      <c r="AD29" s="136"/>
      <c r="AE29" s="137"/>
      <c r="AF29" s="29"/>
      <c r="AG29" s="29"/>
      <c r="AH29" s="29"/>
      <c r="AI29" s="29"/>
      <c r="AJ29" s="29"/>
      <c r="AK29" s="29"/>
      <c r="AL29" s="44"/>
      <c r="AM29" s="45" t="b">
        <f t="shared" si="20"/>
        <v>0</v>
      </c>
      <c r="AN29" s="46">
        <f t="shared" si="21"/>
        <v>41034.208333333336</v>
      </c>
      <c r="AO29" s="70">
        <f t="shared" si="22"/>
        <v>41034.916666666664</v>
      </c>
      <c r="AP29" s="47">
        <f t="shared" si="23"/>
        <v>41035.208333333336</v>
      </c>
      <c r="AQ29" s="48">
        <f t="shared" si="34"/>
        <v>41034</v>
      </c>
      <c r="AR29" s="49">
        <f t="shared" si="11"/>
        <v>41035</v>
      </c>
      <c r="AS29" s="49">
        <f t="shared" si="35"/>
        <v>1</v>
      </c>
      <c r="AT29" s="50">
        <f t="shared" si="12"/>
        <v>1</v>
      </c>
      <c r="AU29" s="48">
        <f t="shared" si="13"/>
        <v>0.20833333333575865</v>
      </c>
      <c r="AV29" s="49">
        <f t="shared" si="14"/>
        <v>8.3333333335758653E-2</v>
      </c>
      <c r="AW29" s="50">
        <f t="shared" si="15"/>
        <v>0.29166666667151731</v>
      </c>
      <c r="AX29" s="48">
        <f t="shared" si="16"/>
        <v>41034.208333333336</v>
      </c>
      <c r="AY29" s="49">
        <f t="shared" si="24"/>
        <v>41035</v>
      </c>
      <c r="AZ29" s="50">
        <f t="shared" si="17"/>
        <v>0.79166666666424135</v>
      </c>
      <c r="BA29" s="12" t="b">
        <f t="shared" si="25"/>
        <v>1</v>
      </c>
      <c r="BB29" s="8" t="b">
        <f t="shared" si="26"/>
        <v>0</v>
      </c>
      <c r="BC29" s="51" t="b">
        <f t="shared" si="27"/>
        <v>0</v>
      </c>
      <c r="BD29" s="12">
        <f t="shared" si="28"/>
        <v>0</v>
      </c>
      <c r="BE29" s="8">
        <f t="shared" si="29"/>
        <v>0</v>
      </c>
      <c r="BF29" s="12">
        <f t="shared" si="30"/>
        <v>0</v>
      </c>
      <c r="BG29" s="51">
        <f t="shared" si="31"/>
        <v>0</v>
      </c>
      <c r="BH29" s="13">
        <f t="shared" si="32"/>
        <v>0</v>
      </c>
    </row>
    <row r="30" spans="2:60" ht="33" customHeight="1" x14ac:dyDescent="0.15">
      <c r="B30" s="130">
        <f t="shared" si="33"/>
        <v>41035</v>
      </c>
      <c r="C30" s="131"/>
      <c r="D30" s="72" t="str">
        <f t="shared" si="18"/>
        <v>Sun</v>
      </c>
      <c r="E30" s="132"/>
      <c r="F30" s="133"/>
      <c r="G30" s="134"/>
      <c r="H30" s="135"/>
      <c r="I30" s="40"/>
      <c r="J30" s="41"/>
      <c r="K30" s="40"/>
      <c r="L30" s="41"/>
      <c r="M30" s="42" t="str">
        <f t="shared" si="1"/>
        <v/>
      </c>
      <c r="N30" s="43" t="str">
        <f t="shared" si="2"/>
        <v/>
      </c>
      <c r="O30" s="40"/>
      <c r="P30" s="41"/>
      <c r="Q30" s="42" t="str">
        <f t="shared" si="3"/>
        <v/>
      </c>
      <c r="R30" s="43" t="str">
        <f t="shared" si="4"/>
        <v/>
      </c>
      <c r="S30" s="42"/>
      <c r="T30" s="43" t="str">
        <f t="shared" si="19"/>
        <v/>
      </c>
      <c r="U30" s="42" t="str">
        <f t="shared" si="5"/>
        <v/>
      </c>
      <c r="V30" s="43" t="str">
        <f t="shared" si="6"/>
        <v/>
      </c>
      <c r="W30" s="42" t="str">
        <f t="shared" si="7"/>
        <v/>
      </c>
      <c r="X30" s="43" t="str">
        <f t="shared" si="8"/>
        <v/>
      </c>
      <c r="Y30" s="42" t="str">
        <f t="shared" si="9"/>
        <v/>
      </c>
      <c r="Z30" s="43" t="str">
        <f t="shared" si="10"/>
        <v/>
      </c>
      <c r="AA30" s="136"/>
      <c r="AB30" s="136"/>
      <c r="AC30" s="136"/>
      <c r="AD30" s="136"/>
      <c r="AE30" s="137"/>
      <c r="AF30" s="29"/>
      <c r="AG30" s="29"/>
      <c r="AH30" s="29"/>
      <c r="AI30" s="29"/>
      <c r="AJ30" s="29"/>
      <c r="AK30" s="29"/>
      <c r="AL30" s="44"/>
      <c r="AM30" s="45" t="b">
        <f t="shared" si="20"/>
        <v>0</v>
      </c>
      <c r="AN30" s="46">
        <f t="shared" si="21"/>
        <v>41035.208333333336</v>
      </c>
      <c r="AO30" s="70">
        <f t="shared" si="22"/>
        <v>41035.916666666664</v>
      </c>
      <c r="AP30" s="47">
        <f t="shared" si="23"/>
        <v>41036.208333333336</v>
      </c>
      <c r="AQ30" s="48">
        <f t="shared" si="34"/>
        <v>41035</v>
      </c>
      <c r="AR30" s="49">
        <f t="shared" si="11"/>
        <v>41036</v>
      </c>
      <c r="AS30" s="49">
        <f t="shared" si="35"/>
        <v>1</v>
      </c>
      <c r="AT30" s="50">
        <f>IF(AS30&gt;TIME(O30,P30,0),AS30-TIME(O30,P30,0),0)</f>
        <v>1</v>
      </c>
      <c r="AU30" s="48">
        <f t="shared" si="13"/>
        <v>0.20833333333575865</v>
      </c>
      <c r="AV30" s="49">
        <f>IF(AQ30&gt;AO30,IF(AR30&gt;AP30,AP30,AR30)-AQ30,IF(AR30&gt;AO30,IF(AR30&gt;AP30,AP30,AR30)-AO30,0))</f>
        <v>8.3333333335758653E-2</v>
      </c>
      <c r="AW30" s="50">
        <f t="shared" si="15"/>
        <v>0.29166666667151731</v>
      </c>
      <c r="AX30" s="48">
        <f t="shared" si="16"/>
        <v>41035.208333333336</v>
      </c>
      <c r="AY30" s="49">
        <f t="shared" si="24"/>
        <v>41036</v>
      </c>
      <c r="AZ30" s="50">
        <f t="shared" si="17"/>
        <v>0.79166666666424135</v>
      </c>
      <c r="BA30" s="12" t="b">
        <f t="shared" si="25"/>
        <v>1</v>
      </c>
      <c r="BB30" s="8" t="b">
        <f t="shared" si="26"/>
        <v>0</v>
      </c>
      <c r="BC30" s="51" t="b">
        <f t="shared" si="27"/>
        <v>0</v>
      </c>
      <c r="BD30" s="12">
        <f t="shared" si="28"/>
        <v>0</v>
      </c>
      <c r="BE30" s="8">
        <f t="shared" si="29"/>
        <v>0</v>
      </c>
      <c r="BF30" s="12">
        <f t="shared" si="30"/>
        <v>0</v>
      </c>
      <c r="BG30" s="51">
        <f t="shared" si="31"/>
        <v>0</v>
      </c>
      <c r="BH30" s="13">
        <f t="shared" si="32"/>
        <v>0</v>
      </c>
    </row>
    <row r="31" spans="2:60" ht="33" customHeight="1" x14ac:dyDescent="0.15">
      <c r="B31" s="130">
        <f t="shared" si="33"/>
        <v>41036</v>
      </c>
      <c r="C31" s="131"/>
      <c r="D31" s="72" t="str">
        <f t="shared" si="18"/>
        <v>Mon</v>
      </c>
      <c r="E31" s="132"/>
      <c r="F31" s="133"/>
      <c r="G31" s="134"/>
      <c r="H31" s="135"/>
      <c r="I31" s="40"/>
      <c r="J31" s="41"/>
      <c r="K31" s="40"/>
      <c r="L31" s="41"/>
      <c r="M31" s="42" t="str">
        <f t="shared" si="1"/>
        <v/>
      </c>
      <c r="N31" s="43" t="str">
        <f t="shared" si="2"/>
        <v/>
      </c>
      <c r="O31" s="40"/>
      <c r="P31" s="41"/>
      <c r="Q31" s="42" t="str">
        <f t="shared" si="3"/>
        <v/>
      </c>
      <c r="R31" s="43" t="str">
        <f t="shared" si="4"/>
        <v/>
      </c>
      <c r="S31" s="42"/>
      <c r="T31" s="43" t="str">
        <f t="shared" si="19"/>
        <v/>
      </c>
      <c r="U31" s="42" t="str">
        <f t="shared" si="5"/>
        <v/>
      </c>
      <c r="V31" s="43" t="str">
        <f t="shared" si="6"/>
        <v/>
      </c>
      <c r="W31" s="42" t="str">
        <f t="shared" si="7"/>
        <v/>
      </c>
      <c r="X31" s="43" t="str">
        <f t="shared" si="8"/>
        <v/>
      </c>
      <c r="Y31" s="42" t="str">
        <f t="shared" si="9"/>
        <v/>
      </c>
      <c r="Z31" s="43" t="str">
        <f t="shared" si="10"/>
        <v/>
      </c>
      <c r="AA31" s="136"/>
      <c r="AB31" s="136"/>
      <c r="AC31" s="136"/>
      <c r="AD31" s="136"/>
      <c r="AE31" s="137"/>
      <c r="AF31" s="29"/>
      <c r="AG31" s="29"/>
      <c r="AH31" s="29"/>
      <c r="AI31" s="29"/>
      <c r="AJ31" s="29"/>
      <c r="AK31" s="29"/>
      <c r="AL31" s="44"/>
      <c r="AM31" s="45" t="b">
        <f t="shared" si="20"/>
        <v>0</v>
      </c>
      <c r="AN31" s="46">
        <f t="shared" si="21"/>
        <v>41036.208333333336</v>
      </c>
      <c r="AO31" s="70">
        <f t="shared" si="22"/>
        <v>41036.916666666664</v>
      </c>
      <c r="AP31" s="47">
        <f t="shared" si="23"/>
        <v>41037.208333333336</v>
      </c>
      <c r="AQ31" s="48">
        <f t="shared" si="34"/>
        <v>41036</v>
      </c>
      <c r="AR31" s="49">
        <f t="shared" si="11"/>
        <v>41037</v>
      </c>
      <c r="AS31" s="49">
        <f t="shared" si="35"/>
        <v>1</v>
      </c>
      <c r="AT31" s="50">
        <f t="shared" ref="AT31:AT40" si="36">IF(AS31&gt;TIME(O31,P31,0),AS31-TIME(O31,P31,0),0)</f>
        <v>1</v>
      </c>
      <c r="AU31" s="48">
        <f t="shared" si="13"/>
        <v>0.20833333333575865</v>
      </c>
      <c r="AV31" s="49">
        <f t="shared" ref="AV31:AV40" si="37">IF(AQ31&gt;AO31,IF(AR31&gt;AP31,AP31,AR31)-AQ31,IF(AR31&gt;AO31,IF(AR31&gt;AP31,AP31,AR31)-AO31,0))</f>
        <v>8.3333333335758653E-2</v>
      </c>
      <c r="AW31" s="50">
        <f t="shared" si="15"/>
        <v>0.29166666667151731</v>
      </c>
      <c r="AX31" s="48">
        <f t="shared" si="16"/>
        <v>41036.208333333336</v>
      </c>
      <c r="AY31" s="49">
        <f t="shared" si="24"/>
        <v>41037</v>
      </c>
      <c r="AZ31" s="50">
        <f t="shared" si="17"/>
        <v>0.79166666666424135</v>
      </c>
      <c r="BA31" s="12" t="b">
        <f t="shared" si="25"/>
        <v>1</v>
      </c>
      <c r="BB31" s="8" t="b">
        <f t="shared" si="26"/>
        <v>0</v>
      </c>
      <c r="BC31" s="51" t="b">
        <f t="shared" si="27"/>
        <v>0</v>
      </c>
      <c r="BD31" s="12">
        <f t="shared" si="28"/>
        <v>0</v>
      </c>
      <c r="BE31" s="8">
        <f t="shared" si="29"/>
        <v>0</v>
      </c>
      <c r="BF31" s="12">
        <f t="shared" si="30"/>
        <v>0</v>
      </c>
      <c r="BG31" s="51">
        <f t="shared" si="31"/>
        <v>0</v>
      </c>
      <c r="BH31" s="13">
        <f t="shared" si="32"/>
        <v>0</v>
      </c>
    </row>
    <row r="32" spans="2:60" ht="33" customHeight="1" x14ac:dyDescent="0.15">
      <c r="B32" s="130">
        <f t="shared" si="33"/>
        <v>41037</v>
      </c>
      <c r="C32" s="131"/>
      <c r="D32" s="72" t="str">
        <f t="shared" si="18"/>
        <v>Tue</v>
      </c>
      <c r="E32" s="132"/>
      <c r="F32" s="133"/>
      <c r="G32" s="134"/>
      <c r="H32" s="135"/>
      <c r="I32" s="40"/>
      <c r="J32" s="41"/>
      <c r="K32" s="40"/>
      <c r="L32" s="41"/>
      <c r="M32" s="42" t="str">
        <f t="shared" si="1"/>
        <v/>
      </c>
      <c r="N32" s="43" t="str">
        <f t="shared" si="2"/>
        <v/>
      </c>
      <c r="O32" s="40"/>
      <c r="P32" s="41"/>
      <c r="Q32" s="42" t="str">
        <f t="shared" si="3"/>
        <v/>
      </c>
      <c r="R32" s="43" t="str">
        <f t="shared" si="4"/>
        <v/>
      </c>
      <c r="S32" s="42"/>
      <c r="T32" s="43" t="str">
        <f t="shared" si="19"/>
        <v/>
      </c>
      <c r="U32" s="42" t="str">
        <f t="shared" si="5"/>
        <v/>
      </c>
      <c r="V32" s="43" t="str">
        <f t="shared" si="6"/>
        <v/>
      </c>
      <c r="W32" s="42" t="str">
        <f t="shared" si="7"/>
        <v/>
      </c>
      <c r="X32" s="43" t="str">
        <f t="shared" si="8"/>
        <v/>
      </c>
      <c r="Y32" s="42" t="str">
        <f t="shared" si="9"/>
        <v/>
      </c>
      <c r="Z32" s="43" t="str">
        <f t="shared" si="10"/>
        <v/>
      </c>
      <c r="AA32" s="136"/>
      <c r="AB32" s="136"/>
      <c r="AC32" s="136"/>
      <c r="AD32" s="136"/>
      <c r="AE32" s="137"/>
      <c r="AF32" s="29"/>
      <c r="AG32" s="29"/>
      <c r="AH32" s="29"/>
      <c r="AI32" s="29"/>
      <c r="AJ32" s="29"/>
      <c r="AK32" s="29"/>
      <c r="AL32" s="44"/>
      <c r="AM32" s="45" t="b">
        <f t="shared" si="20"/>
        <v>0</v>
      </c>
      <c r="AN32" s="46">
        <f t="shared" si="21"/>
        <v>41037.208333333336</v>
      </c>
      <c r="AO32" s="70">
        <f t="shared" si="22"/>
        <v>41037.916666666664</v>
      </c>
      <c r="AP32" s="47">
        <f t="shared" si="23"/>
        <v>41038.208333333336</v>
      </c>
      <c r="AQ32" s="48">
        <f t="shared" si="34"/>
        <v>41037</v>
      </c>
      <c r="AR32" s="49">
        <f t="shared" si="11"/>
        <v>41038</v>
      </c>
      <c r="AS32" s="49">
        <f t="shared" si="35"/>
        <v>1</v>
      </c>
      <c r="AT32" s="50">
        <f t="shared" si="36"/>
        <v>1</v>
      </c>
      <c r="AU32" s="48">
        <f t="shared" si="13"/>
        <v>0.20833333333575865</v>
      </c>
      <c r="AV32" s="49">
        <f t="shared" si="37"/>
        <v>8.3333333335758653E-2</v>
      </c>
      <c r="AW32" s="50">
        <f t="shared" si="15"/>
        <v>0.29166666667151731</v>
      </c>
      <c r="AX32" s="48">
        <f t="shared" si="16"/>
        <v>41037.208333333336</v>
      </c>
      <c r="AY32" s="49">
        <f t="shared" si="24"/>
        <v>41038</v>
      </c>
      <c r="AZ32" s="50">
        <f t="shared" si="17"/>
        <v>0.79166666666424135</v>
      </c>
      <c r="BA32" s="12" t="b">
        <f t="shared" si="25"/>
        <v>1</v>
      </c>
      <c r="BB32" s="8" t="b">
        <f t="shared" si="26"/>
        <v>0</v>
      </c>
      <c r="BC32" s="51" t="b">
        <f t="shared" si="27"/>
        <v>0</v>
      </c>
      <c r="BD32" s="12">
        <f t="shared" si="28"/>
        <v>0</v>
      </c>
      <c r="BE32" s="8">
        <f t="shared" si="29"/>
        <v>0</v>
      </c>
      <c r="BF32" s="12">
        <f t="shared" si="30"/>
        <v>0</v>
      </c>
      <c r="BG32" s="51">
        <f t="shared" si="31"/>
        <v>0</v>
      </c>
      <c r="BH32" s="13">
        <f t="shared" si="32"/>
        <v>0</v>
      </c>
    </row>
    <row r="33" spans="1:60" ht="33" customHeight="1" x14ac:dyDescent="0.15">
      <c r="B33" s="130">
        <f t="shared" si="33"/>
        <v>41038</v>
      </c>
      <c r="C33" s="131"/>
      <c r="D33" s="72" t="str">
        <f t="shared" si="18"/>
        <v>Wed</v>
      </c>
      <c r="E33" s="132"/>
      <c r="F33" s="133"/>
      <c r="G33" s="134"/>
      <c r="H33" s="135"/>
      <c r="I33" s="40"/>
      <c r="J33" s="41"/>
      <c r="K33" s="40"/>
      <c r="L33" s="41"/>
      <c r="M33" s="42" t="str">
        <f t="shared" si="1"/>
        <v/>
      </c>
      <c r="N33" s="43" t="str">
        <f t="shared" si="2"/>
        <v/>
      </c>
      <c r="O33" s="40"/>
      <c r="P33" s="41"/>
      <c r="Q33" s="42" t="str">
        <f t="shared" si="3"/>
        <v/>
      </c>
      <c r="R33" s="43" t="str">
        <f t="shared" si="4"/>
        <v/>
      </c>
      <c r="S33" s="42"/>
      <c r="T33" s="43" t="str">
        <f t="shared" si="19"/>
        <v/>
      </c>
      <c r="U33" s="42" t="str">
        <f t="shared" si="5"/>
        <v/>
      </c>
      <c r="V33" s="43" t="str">
        <f t="shared" si="6"/>
        <v/>
      </c>
      <c r="W33" s="42" t="str">
        <f t="shared" si="7"/>
        <v/>
      </c>
      <c r="X33" s="43" t="str">
        <f t="shared" si="8"/>
        <v/>
      </c>
      <c r="Y33" s="42" t="str">
        <f t="shared" si="9"/>
        <v/>
      </c>
      <c r="Z33" s="43" t="str">
        <f t="shared" si="10"/>
        <v/>
      </c>
      <c r="AA33" s="136"/>
      <c r="AB33" s="136"/>
      <c r="AC33" s="136"/>
      <c r="AD33" s="136"/>
      <c r="AE33" s="137"/>
      <c r="AF33" s="29"/>
      <c r="AG33" s="29"/>
      <c r="AH33" s="29"/>
      <c r="AI33" s="29"/>
      <c r="AJ33" s="29"/>
      <c r="AK33" s="29"/>
      <c r="AL33" s="44"/>
      <c r="AM33" s="45" t="b">
        <f t="shared" si="20"/>
        <v>0</v>
      </c>
      <c r="AN33" s="46">
        <f t="shared" si="21"/>
        <v>41038.208333333336</v>
      </c>
      <c r="AO33" s="70">
        <f t="shared" si="22"/>
        <v>41038.916666666664</v>
      </c>
      <c r="AP33" s="47">
        <f t="shared" si="23"/>
        <v>41039.208333333336</v>
      </c>
      <c r="AQ33" s="48">
        <f t="shared" si="34"/>
        <v>41038</v>
      </c>
      <c r="AR33" s="49">
        <f t="shared" si="11"/>
        <v>41039</v>
      </c>
      <c r="AS33" s="49">
        <f t="shared" si="35"/>
        <v>1</v>
      </c>
      <c r="AT33" s="50">
        <f t="shared" si="36"/>
        <v>1</v>
      </c>
      <c r="AU33" s="48">
        <f t="shared" si="13"/>
        <v>0.20833333333575865</v>
      </c>
      <c r="AV33" s="49">
        <f t="shared" si="37"/>
        <v>8.3333333335758653E-2</v>
      </c>
      <c r="AW33" s="50">
        <f t="shared" si="15"/>
        <v>0.29166666667151731</v>
      </c>
      <c r="AX33" s="48">
        <f t="shared" si="16"/>
        <v>41038.208333333336</v>
      </c>
      <c r="AY33" s="49">
        <f t="shared" si="24"/>
        <v>41039</v>
      </c>
      <c r="AZ33" s="50">
        <f t="shared" si="17"/>
        <v>0.79166666666424135</v>
      </c>
      <c r="BA33" s="12" t="b">
        <f t="shared" si="25"/>
        <v>1</v>
      </c>
      <c r="BB33" s="8" t="b">
        <f t="shared" si="26"/>
        <v>0</v>
      </c>
      <c r="BC33" s="51" t="b">
        <f t="shared" si="27"/>
        <v>0</v>
      </c>
      <c r="BD33" s="12">
        <f t="shared" si="28"/>
        <v>0</v>
      </c>
      <c r="BE33" s="8">
        <f t="shared" si="29"/>
        <v>0</v>
      </c>
      <c r="BF33" s="12">
        <f t="shared" si="30"/>
        <v>0</v>
      </c>
      <c r="BG33" s="51">
        <f t="shared" si="31"/>
        <v>0</v>
      </c>
      <c r="BH33" s="13">
        <f t="shared" si="32"/>
        <v>0</v>
      </c>
    </row>
    <row r="34" spans="1:60" ht="33" customHeight="1" x14ac:dyDescent="0.15">
      <c r="B34" s="130">
        <f t="shared" si="33"/>
        <v>41039</v>
      </c>
      <c r="C34" s="131"/>
      <c r="D34" s="72" t="str">
        <f t="shared" si="18"/>
        <v>Thu</v>
      </c>
      <c r="E34" s="132"/>
      <c r="F34" s="133"/>
      <c r="G34" s="134"/>
      <c r="H34" s="135"/>
      <c r="I34" s="40"/>
      <c r="J34" s="41"/>
      <c r="K34" s="40"/>
      <c r="L34" s="41"/>
      <c r="M34" s="42" t="str">
        <f t="shared" si="1"/>
        <v/>
      </c>
      <c r="N34" s="43" t="str">
        <f t="shared" si="2"/>
        <v/>
      </c>
      <c r="O34" s="40"/>
      <c r="P34" s="41"/>
      <c r="Q34" s="42" t="str">
        <f t="shared" si="3"/>
        <v/>
      </c>
      <c r="R34" s="43" t="str">
        <f t="shared" si="4"/>
        <v/>
      </c>
      <c r="S34" s="42"/>
      <c r="T34" s="43" t="str">
        <f t="shared" si="19"/>
        <v/>
      </c>
      <c r="U34" s="42" t="str">
        <f t="shared" si="5"/>
        <v/>
      </c>
      <c r="V34" s="43" t="str">
        <f t="shared" si="6"/>
        <v/>
      </c>
      <c r="W34" s="42" t="str">
        <f t="shared" si="7"/>
        <v/>
      </c>
      <c r="X34" s="43" t="str">
        <f t="shared" si="8"/>
        <v/>
      </c>
      <c r="Y34" s="42" t="str">
        <f t="shared" si="9"/>
        <v/>
      </c>
      <c r="Z34" s="43" t="str">
        <f t="shared" si="10"/>
        <v/>
      </c>
      <c r="AA34" s="136"/>
      <c r="AB34" s="136"/>
      <c r="AC34" s="136"/>
      <c r="AD34" s="136"/>
      <c r="AE34" s="137"/>
      <c r="AF34" s="29"/>
      <c r="AG34" s="29"/>
      <c r="AH34" s="29"/>
      <c r="AI34" s="29"/>
      <c r="AJ34" s="29"/>
      <c r="AK34" s="29"/>
      <c r="AL34" s="44"/>
      <c r="AM34" s="45" t="b">
        <f t="shared" si="20"/>
        <v>0</v>
      </c>
      <c r="AN34" s="46">
        <f t="shared" si="21"/>
        <v>41039.208333333336</v>
      </c>
      <c r="AO34" s="70">
        <f t="shared" si="22"/>
        <v>41039.916666666664</v>
      </c>
      <c r="AP34" s="47">
        <f t="shared" si="23"/>
        <v>41040.208333333336</v>
      </c>
      <c r="AQ34" s="48">
        <f t="shared" si="34"/>
        <v>41039</v>
      </c>
      <c r="AR34" s="49">
        <f t="shared" si="11"/>
        <v>41040</v>
      </c>
      <c r="AS34" s="49">
        <f t="shared" si="35"/>
        <v>1</v>
      </c>
      <c r="AT34" s="50">
        <f t="shared" si="36"/>
        <v>1</v>
      </c>
      <c r="AU34" s="48">
        <f t="shared" si="13"/>
        <v>0.20833333333575865</v>
      </c>
      <c r="AV34" s="49">
        <f t="shared" si="37"/>
        <v>8.3333333335758653E-2</v>
      </c>
      <c r="AW34" s="50">
        <f t="shared" si="15"/>
        <v>0.29166666667151731</v>
      </c>
      <c r="AX34" s="48">
        <f t="shared" si="16"/>
        <v>41039.208333333336</v>
      </c>
      <c r="AY34" s="49">
        <f t="shared" si="24"/>
        <v>41040</v>
      </c>
      <c r="AZ34" s="50">
        <f t="shared" si="17"/>
        <v>0.79166666666424135</v>
      </c>
      <c r="BA34" s="12" t="b">
        <f t="shared" si="25"/>
        <v>1</v>
      </c>
      <c r="BB34" s="8" t="b">
        <f t="shared" si="26"/>
        <v>0</v>
      </c>
      <c r="BC34" s="51" t="b">
        <f t="shared" si="27"/>
        <v>0</v>
      </c>
      <c r="BD34" s="12">
        <f t="shared" si="28"/>
        <v>0</v>
      </c>
      <c r="BE34" s="8">
        <f t="shared" si="29"/>
        <v>0</v>
      </c>
      <c r="BF34" s="12">
        <f t="shared" si="30"/>
        <v>0</v>
      </c>
      <c r="BG34" s="51">
        <f t="shared" si="31"/>
        <v>0</v>
      </c>
      <c r="BH34" s="13">
        <f t="shared" si="32"/>
        <v>0</v>
      </c>
    </row>
    <row r="35" spans="1:60" ht="33" customHeight="1" x14ac:dyDescent="0.15">
      <c r="B35" s="130">
        <f t="shared" si="33"/>
        <v>41040</v>
      </c>
      <c r="C35" s="131"/>
      <c r="D35" s="72" t="str">
        <f t="shared" si="18"/>
        <v>Fri</v>
      </c>
      <c r="E35" s="132"/>
      <c r="F35" s="133"/>
      <c r="G35" s="134"/>
      <c r="H35" s="135"/>
      <c r="I35" s="40"/>
      <c r="J35" s="41"/>
      <c r="K35" s="40"/>
      <c r="L35" s="41"/>
      <c r="M35" s="42" t="str">
        <f t="shared" si="1"/>
        <v/>
      </c>
      <c r="N35" s="43" t="str">
        <f t="shared" si="2"/>
        <v/>
      </c>
      <c r="O35" s="40"/>
      <c r="P35" s="41"/>
      <c r="Q35" s="42" t="str">
        <f t="shared" si="3"/>
        <v/>
      </c>
      <c r="R35" s="43" t="str">
        <f t="shared" si="4"/>
        <v/>
      </c>
      <c r="S35" s="42"/>
      <c r="T35" s="43" t="str">
        <f t="shared" si="19"/>
        <v/>
      </c>
      <c r="U35" s="42" t="str">
        <f t="shared" si="5"/>
        <v/>
      </c>
      <c r="V35" s="43" t="str">
        <f t="shared" si="6"/>
        <v/>
      </c>
      <c r="W35" s="42" t="str">
        <f t="shared" si="7"/>
        <v/>
      </c>
      <c r="X35" s="43" t="str">
        <f t="shared" si="8"/>
        <v/>
      </c>
      <c r="Y35" s="42" t="str">
        <f t="shared" si="9"/>
        <v/>
      </c>
      <c r="Z35" s="43" t="str">
        <f t="shared" si="10"/>
        <v/>
      </c>
      <c r="AA35" s="136"/>
      <c r="AB35" s="136"/>
      <c r="AC35" s="136"/>
      <c r="AD35" s="136"/>
      <c r="AE35" s="137"/>
      <c r="AF35" s="29"/>
      <c r="AG35" s="29"/>
      <c r="AH35" s="29"/>
      <c r="AI35" s="29"/>
      <c r="AJ35" s="29"/>
      <c r="AK35" s="29"/>
      <c r="AL35" s="44"/>
      <c r="AM35" s="45" t="b">
        <f t="shared" si="20"/>
        <v>0</v>
      </c>
      <c r="AN35" s="46">
        <f t="shared" si="21"/>
        <v>41040.208333333336</v>
      </c>
      <c r="AO35" s="70">
        <f t="shared" si="22"/>
        <v>41040.916666666664</v>
      </c>
      <c r="AP35" s="47">
        <f t="shared" si="23"/>
        <v>41041.208333333336</v>
      </c>
      <c r="AQ35" s="48">
        <f t="shared" si="34"/>
        <v>41040</v>
      </c>
      <c r="AR35" s="49">
        <f t="shared" si="11"/>
        <v>41041</v>
      </c>
      <c r="AS35" s="49">
        <f t="shared" si="35"/>
        <v>1</v>
      </c>
      <c r="AT35" s="50">
        <f t="shared" si="36"/>
        <v>1</v>
      </c>
      <c r="AU35" s="48">
        <f t="shared" si="13"/>
        <v>0.20833333333575865</v>
      </c>
      <c r="AV35" s="49">
        <f t="shared" si="37"/>
        <v>8.3333333335758653E-2</v>
      </c>
      <c r="AW35" s="50">
        <f t="shared" si="15"/>
        <v>0.29166666667151731</v>
      </c>
      <c r="AX35" s="48">
        <f t="shared" si="16"/>
        <v>41040.208333333336</v>
      </c>
      <c r="AY35" s="49">
        <f t="shared" si="24"/>
        <v>41041</v>
      </c>
      <c r="AZ35" s="50">
        <f t="shared" si="17"/>
        <v>0.79166666666424135</v>
      </c>
      <c r="BA35" s="12" t="b">
        <f t="shared" si="25"/>
        <v>1</v>
      </c>
      <c r="BB35" s="8" t="b">
        <f t="shared" si="26"/>
        <v>0</v>
      </c>
      <c r="BC35" s="51" t="b">
        <f t="shared" si="27"/>
        <v>0</v>
      </c>
      <c r="BD35" s="12">
        <f t="shared" si="28"/>
        <v>0</v>
      </c>
      <c r="BE35" s="8">
        <f t="shared" si="29"/>
        <v>0</v>
      </c>
      <c r="BF35" s="12">
        <f t="shared" si="30"/>
        <v>0</v>
      </c>
      <c r="BG35" s="51">
        <f t="shared" si="31"/>
        <v>0</v>
      </c>
      <c r="BH35" s="13">
        <f t="shared" si="32"/>
        <v>0</v>
      </c>
    </row>
    <row r="36" spans="1:60" ht="33" customHeight="1" x14ac:dyDescent="0.15">
      <c r="B36" s="130">
        <f t="shared" si="33"/>
        <v>41041</v>
      </c>
      <c r="C36" s="131"/>
      <c r="D36" s="72" t="str">
        <f t="shared" si="18"/>
        <v>Sat</v>
      </c>
      <c r="E36" s="132"/>
      <c r="F36" s="133"/>
      <c r="G36" s="134"/>
      <c r="H36" s="135"/>
      <c r="I36" s="40"/>
      <c r="J36" s="41"/>
      <c r="K36" s="40"/>
      <c r="L36" s="41"/>
      <c r="M36" s="42" t="str">
        <f t="shared" si="1"/>
        <v/>
      </c>
      <c r="N36" s="43" t="str">
        <f t="shared" si="2"/>
        <v/>
      </c>
      <c r="O36" s="40"/>
      <c r="P36" s="41"/>
      <c r="Q36" s="42" t="str">
        <f t="shared" si="3"/>
        <v/>
      </c>
      <c r="R36" s="43" t="str">
        <f t="shared" si="4"/>
        <v/>
      </c>
      <c r="S36" s="42"/>
      <c r="T36" s="43" t="str">
        <f t="shared" si="19"/>
        <v/>
      </c>
      <c r="U36" s="42" t="str">
        <f t="shared" si="5"/>
        <v/>
      </c>
      <c r="V36" s="43" t="str">
        <f t="shared" si="6"/>
        <v/>
      </c>
      <c r="W36" s="42" t="str">
        <f t="shared" si="7"/>
        <v/>
      </c>
      <c r="X36" s="43" t="str">
        <f t="shared" si="8"/>
        <v/>
      </c>
      <c r="Y36" s="42" t="str">
        <f t="shared" si="9"/>
        <v/>
      </c>
      <c r="Z36" s="43" t="str">
        <f t="shared" si="10"/>
        <v/>
      </c>
      <c r="AA36" s="136"/>
      <c r="AB36" s="136"/>
      <c r="AC36" s="136"/>
      <c r="AD36" s="136"/>
      <c r="AE36" s="137"/>
      <c r="AF36" s="29"/>
      <c r="AG36" s="29"/>
      <c r="AH36" s="29"/>
      <c r="AI36" s="29"/>
      <c r="AJ36" s="29"/>
      <c r="AK36" s="29"/>
      <c r="AL36" s="44"/>
      <c r="AM36" s="45" t="b">
        <f t="shared" si="20"/>
        <v>0</v>
      </c>
      <c r="AN36" s="46">
        <f t="shared" si="21"/>
        <v>41041.208333333336</v>
      </c>
      <c r="AO36" s="70">
        <f t="shared" si="22"/>
        <v>41041.916666666664</v>
      </c>
      <c r="AP36" s="47">
        <f t="shared" si="23"/>
        <v>41042.208333333336</v>
      </c>
      <c r="AQ36" s="48">
        <f t="shared" si="34"/>
        <v>41041</v>
      </c>
      <c r="AR36" s="49">
        <f t="shared" si="11"/>
        <v>41042</v>
      </c>
      <c r="AS36" s="49">
        <f t="shared" si="35"/>
        <v>1</v>
      </c>
      <c r="AT36" s="50">
        <f t="shared" si="36"/>
        <v>1</v>
      </c>
      <c r="AU36" s="48">
        <f t="shared" si="13"/>
        <v>0.20833333333575865</v>
      </c>
      <c r="AV36" s="49">
        <f t="shared" si="37"/>
        <v>8.3333333335758653E-2</v>
      </c>
      <c r="AW36" s="50">
        <f t="shared" si="15"/>
        <v>0.29166666667151731</v>
      </c>
      <c r="AX36" s="48">
        <f t="shared" si="16"/>
        <v>41041.208333333336</v>
      </c>
      <c r="AY36" s="49">
        <f t="shared" si="24"/>
        <v>41042</v>
      </c>
      <c r="AZ36" s="50">
        <f t="shared" si="17"/>
        <v>0.79166666666424135</v>
      </c>
      <c r="BA36" s="12" t="b">
        <f t="shared" si="25"/>
        <v>1</v>
      </c>
      <c r="BB36" s="8" t="b">
        <f t="shared" si="26"/>
        <v>0</v>
      </c>
      <c r="BC36" s="51" t="b">
        <f t="shared" si="27"/>
        <v>0</v>
      </c>
      <c r="BD36" s="12">
        <f t="shared" si="28"/>
        <v>0</v>
      </c>
      <c r="BE36" s="8">
        <f t="shared" si="29"/>
        <v>0</v>
      </c>
      <c r="BF36" s="12">
        <f t="shared" si="30"/>
        <v>0</v>
      </c>
      <c r="BG36" s="51">
        <f t="shared" si="31"/>
        <v>0</v>
      </c>
      <c r="BH36" s="13">
        <f t="shared" si="32"/>
        <v>0</v>
      </c>
    </row>
    <row r="37" spans="1:60" ht="33" customHeight="1" x14ac:dyDescent="0.15">
      <c r="B37" s="130">
        <f>B36+1</f>
        <v>41042</v>
      </c>
      <c r="C37" s="131"/>
      <c r="D37" s="72" t="str">
        <f t="shared" si="18"/>
        <v>Sun</v>
      </c>
      <c r="E37" s="132"/>
      <c r="F37" s="133"/>
      <c r="G37" s="134"/>
      <c r="H37" s="135"/>
      <c r="I37" s="40"/>
      <c r="J37" s="41"/>
      <c r="K37" s="40"/>
      <c r="L37" s="41"/>
      <c r="M37" s="42" t="str">
        <f t="shared" si="1"/>
        <v/>
      </c>
      <c r="N37" s="43" t="str">
        <f t="shared" si="2"/>
        <v/>
      </c>
      <c r="O37" s="40"/>
      <c r="P37" s="41"/>
      <c r="Q37" s="42" t="str">
        <f t="shared" si="3"/>
        <v/>
      </c>
      <c r="R37" s="43" t="str">
        <f t="shared" si="4"/>
        <v/>
      </c>
      <c r="S37" s="42"/>
      <c r="T37" s="43" t="str">
        <f t="shared" si="19"/>
        <v/>
      </c>
      <c r="U37" s="42" t="str">
        <f t="shared" si="5"/>
        <v/>
      </c>
      <c r="V37" s="43" t="str">
        <f t="shared" si="6"/>
        <v/>
      </c>
      <c r="W37" s="42" t="str">
        <f t="shared" si="7"/>
        <v/>
      </c>
      <c r="X37" s="43" t="str">
        <f t="shared" si="8"/>
        <v/>
      </c>
      <c r="Y37" s="42" t="str">
        <f t="shared" si="9"/>
        <v/>
      </c>
      <c r="Z37" s="43" t="str">
        <f t="shared" si="10"/>
        <v/>
      </c>
      <c r="AA37" s="136"/>
      <c r="AB37" s="136"/>
      <c r="AC37" s="136"/>
      <c r="AD37" s="136"/>
      <c r="AE37" s="137"/>
      <c r="AF37" s="29"/>
      <c r="AG37" s="29"/>
      <c r="AH37" s="29"/>
      <c r="AI37" s="29"/>
      <c r="AJ37" s="29"/>
      <c r="AK37" s="29"/>
      <c r="AL37" s="44"/>
      <c r="AM37" s="45" t="b">
        <f>IF(OR(DAY(A37)&gt;15, I37="",J37="",K37="",L37=""),FALSE,TRUE)</f>
        <v>0</v>
      </c>
      <c r="AN37" s="46">
        <f t="shared" si="21"/>
        <v>41042.208333333336</v>
      </c>
      <c r="AO37" s="70">
        <f t="shared" si="22"/>
        <v>41042.916666666664</v>
      </c>
      <c r="AP37" s="47">
        <f t="shared" si="23"/>
        <v>41043.208333333336</v>
      </c>
      <c r="AQ37" s="48">
        <f t="shared" si="34"/>
        <v>41042</v>
      </c>
      <c r="AR37" s="49">
        <f t="shared" si="11"/>
        <v>41043</v>
      </c>
      <c r="AS37" s="49">
        <f t="shared" si="35"/>
        <v>1</v>
      </c>
      <c r="AT37" s="50">
        <f t="shared" si="36"/>
        <v>1</v>
      </c>
      <c r="AU37" s="48">
        <f t="shared" si="13"/>
        <v>0.20833333333575865</v>
      </c>
      <c r="AV37" s="49">
        <f t="shared" si="37"/>
        <v>8.3333333335758653E-2</v>
      </c>
      <c r="AW37" s="50">
        <f t="shared" si="15"/>
        <v>0.29166666667151731</v>
      </c>
      <c r="AX37" s="48">
        <f t="shared" si="16"/>
        <v>41042.208333333336</v>
      </c>
      <c r="AY37" s="49">
        <f t="shared" si="24"/>
        <v>41043</v>
      </c>
      <c r="AZ37" s="50">
        <f t="shared" si="17"/>
        <v>0.79166666666424135</v>
      </c>
      <c r="BA37" s="12" t="b">
        <f t="shared" si="25"/>
        <v>1</v>
      </c>
      <c r="BB37" s="8" t="b">
        <f t="shared" si="26"/>
        <v>0</v>
      </c>
      <c r="BC37" s="51" t="b">
        <f t="shared" si="27"/>
        <v>0</v>
      </c>
      <c r="BD37" s="12">
        <f t="shared" si="28"/>
        <v>0</v>
      </c>
      <c r="BE37" s="8">
        <f t="shared" si="29"/>
        <v>0</v>
      </c>
      <c r="BF37" s="12">
        <f t="shared" si="30"/>
        <v>0</v>
      </c>
      <c r="BG37" s="51">
        <f t="shared" si="31"/>
        <v>0</v>
      </c>
      <c r="BH37" s="13">
        <f t="shared" si="32"/>
        <v>0</v>
      </c>
    </row>
    <row r="38" spans="1:60" ht="33" customHeight="1" x14ac:dyDescent="0.15">
      <c r="B38" s="130">
        <f>B37+1</f>
        <v>41043</v>
      </c>
      <c r="C38" s="131"/>
      <c r="D38" s="72" t="str">
        <f t="shared" si="18"/>
        <v>Mon</v>
      </c>
      <c r="E38" s="132"/>
      <c r="F38" s="133"/>
      <c r="G38" s="134"/>
      <c r="H38" s="135"/>
      <c r="I38" s="40"/>
      <c r="J38" s="41"/>
      <c r="K38" s="40"/>
      <c r="L38" s="41"/>
      <c r="M38" s="42" t="str">
        <f t="shared" si="1"/>
        <v/>
      </c>
      <c r="N38" s="43" t="str">
        <f t="shared" si="2"/>
        <v/>
      </c>
      <c r="O38" s="40"/>
      <c r="P38" s="41"/>
      <c r="Q38" s="42" t="str">
        <f>IF(OR(M38="",N38=""),"",HOUR(AT38)+DAY(AT38)*24)</f>
        <v/>
      </c>
      <c r="R38" s="43" t="str">
        <f>IF(OR(M38="",N38=""),"",MINUTE(AT38))</f>
        <v/>
      </c>
      <c r="S38" s="42"/>
      <c r="T38" s="43" t="str">
        <f t="shared" si="19"/>
        <v/>
      </c>
      <c r="U38" s="42" t="str">
        <f t="shared" si="5"/>
        <v/>
      </c>
      <c r="V38" s="43" t="str">
        <f t="shared" si="6"/>
        <v/>
      </c>
      <c r="W38" s="42" t="str">
        <f t="shared" si="7"/>
        <v/>
      </c>
      <c r="X38" s="43" t="str">
        <f t="shared" si="8"/>
        <v/>
      </c>
      <c r="Y38" s="42" t="str">
        <f t="shared" si="9"/>
        <v/>
      </c>
      <c r="Z38" s="43" t="str">
        <f t="shared" si="10"/>
        <v/>
      </c>
      <c r="AA38" s="136"/>
      <c r="AB38" s="136"/>
      <c r="AC38" s="136"/>
      <c r="AD38" s="136"/>
      <c r="AE38" s="137"/>
      <c r="AF38" s="29"/>
      <c r="AG38" s="29"/>
      <c r="AH38" s="29"/>
      <c r="AI38" s="29"/>
      <c r="AJ38" s="29"/>
      <c r="AK38" s="29"/>
      <c r="AL38" s="44"/>
      <c r="AM38" s="45" t="b">
        <f>IF(OR(DAY(B38)&gt;15, I38="",J38="",K38="",L38=""),FALSE,TRUE)</f>
        <v>0</v>
      </c>
      <c r="AN38" s="46">
        <f t="shared" si="21"/>
        <v>41043.208333333336</v>
      </c>
      <c r="AO38" s="70">
        <f t="shared" si="22"/>
        <v>41043.916666666664</v>
      </c>
      <c r="AP38" s="47">
        <f t="shared" si="23"/>
        <v>41044.208333333336</v>
      </c>
      <c r="AQ38" s="48">
        <f t="shared" si="34"/>
        <v>41043</v>
      </c>
      <c r="AR38" s="49">
        <f t="shared" si="11"/>
        <v>41044</v>
      </c>
      <c r="AS38" s="49">
        <f t="shared" si="35"/>
        <v>1</v>
      </c>
      <c r="AT38" s="50">
        <f t="shared" si="36"/>
        <v>1</v>
      </c>
      <c r="AU38" s="48">
        <f t="shared" si="13"/>
        <v>0.20833333333575865</v>
      </c>
      <c r="AV38" s="49">
        <f t="shared" si="37"/>
        <v>8.3333333335758653E-2</v>
      </c>
      <c r="AW38" s="50">
        <f t="shared" si="15"/>
        <v>0.29166666667151731</v>
      </c>
      <c r="AX38" s="48">
        <f t="shared" si="16"/>
        <v>41043.208333333336</v>
      </c>
      <c r="AY38" s="49">
        <f t="shared" si="24"/>
        <v>41044</v>
      </c>
      <c r="AZ38" s="50">
        <f t="shared" si="17"/>
        <v>0.79166666666424135</v>
      </c>
      <c r="BA38" s="12" t="b">
        <f t="shared" si="25"/>
        <v>1</v>
      </c>
      <c r="BB38" s="8" t="b">
        <f t="shared" si="26"/>
        <v>0</v>
      </c>
      <c r="BC38" s="51" t="b">
        <f t="shared" si="27"/>
        <v>0</v>
      </c>
      <c r="BD38" s="12">
        <f t="shared" si="28"/>
        <v>0</v>
      </c>
      <c r="BE38" s="8">
        <f t="shared" si="29"/>
        <v>0</v>
      </c>
      <c r="BF38" s="12">
        <f t="shared" si="30"/>
        <v>0</v>
      </c>
      <c r="BG38" s="51">
        <f t="shared" si="31"/>
        <v>0</v>
      </c>
      <c r="BH38" s="13">
        <f t="shared" si="32"/>
        <v>0</v>
      </c>
    </row>
    <row r="39" spans="1:60" ht="33" customHeight="1" x14ac:dyDescent="0.15">
      <c r="B39" s="130">
        <f>B38+1</f>
        <v>41044</v>
      </c>
      <c r="C39" s="131"/>
      <c r="D39" s="72" t="str">
        <f t="shared" si="18"/>
        <v>Tue</v>
      </c>
      <c r="E39" s="132"/>
      <c r="F39" s="133"/>
      <c r="G39" s="134"/>
      <c r="H39" s="135"/>
      <c r="I39" s="40"/>
      <c r="J39" s="41"/>
      <c r="K39" s="40"/>
      <c r="L39" s="41"/>
      <c r="M39" s="42" t="str">
        <f t="shared" si="1"/>
        <v/>
      </c>
      <c r="N39" s="43" t="str">
        <f t="shared" si="2"/>
        <v/>
      </c>
      <c r="O39" s="40"/>
      <c r="P39" s="41"/>
      <c r="Q39" s="42" t="str">
        <f>IF(OR(M39="",N39=""),"",HOUR(AT39)+DAY(AT39)*24)</f>
        <v/>
      </c>
      <c r="R39" s="43" t="str">
        <f>IF(OR(M39="",N39=""),"",MINUTE(AT39))</f>
        <v/>
      </c>
      <c r="S39" s="42"/>
      <c r="T39" s="43" t="str">
        <f t="shared" si="19"/>
        <v/>
      </c>
      <c r="U39" s="42" t="str">
        <f t="shared" si="5"/>
        <v/>
      </c>
      <c r="V39" s="43" t="str">
        <f t="shared" si="6"/>
        <v/>
      </c>
      <c r="W39" s="42" t="str">
        <f t="shared" si="7"/>
        <v/>
      </c>
      <c r="X39" s="43" t="str">
        <f t="shared" si="8"/>
        <v/>
      </c>
      <c r="Y39" s="42" t="str">
        <f t="shared" si="9"/>
        <v/>
      </c>
      <c r="Z39" s="43" t="str">
        <f t="shared" si="10"/>
        <v/>
      </c>
      <c r="AA39" s="136"/>
      <c r="AB39" s="136"/>
      <c r="AC39" s="136"/>
      <c r="AD39" s="136"/>
      <c r="AE39" s="137"/>
      <c r="AF39" s="29"/>
      <c r="AG39" s="29"/>
      <c r="AH39" s="29"/>
      <c r="AI39" s="29"/>
      <c r="AJ39" s="29"/>
      <c r="AK39" s="29"/>
      <c r="AL39" s="44"/>
      <c r="AM39" s="45" t="b">
        <f>IF(OR(DAY(B39)&gt;15, I39="",J39="",K39="",L39=""),FALSE,TRUE)</f>
        <v>0</v>
      </c>
      <c r="AN39" s="46">
        <f t="shared" si="21"/>
        <v>41044.208333333336</v>
      </c>
      <c r="AO39" s="70">
        <f t="shared" si="22"/>
        <v>41044.916666666664</v>
      </c>
      <c r="AP39" s="47">
        <f t="shared" si="23"/>
        <v>41045.208333333336</v>
      </c>
      <c r="AQ39" s="48">
        <f t="shared" si="34"/>
        <v>41044</v>
      </c>
      <c r="AR39" s="49">
        <f t="shared" si="11"/>
        <v>41045</v>
      </c>
      <c r="AS39" s="49">
        <f t="shared" si="35"/>
        <v>1</v>
      </c>
      <c r="AT39" s="50">
        <f t="shared" si="36"/>
        <v>1</v>
      </c>
      <c r="AU39" s="48">
        <f t="shared" si="13"/>
        <v>0.20833333333575865</v>
      </c>
      <c r="AV39" s="49">
        <f t="shared" si="37"/>
        <v>8.3333333335758653E-2</v>
      </c>
      <c r="AW39" s="50">
        <f t="shared" si="15"/>
        <v>0.29166666667151731</v>
      </c>
      <c r="AX39" s="48">
        <f t="shared" si="16"/>
        <v>41044.208333333336</v>
      </c>
      <c r="AY39" s="49">
        <f t="shared" si="24"/>
        <v>41045</v>
      </c>
      <c r="AZ39" s="50">
        <f t="shared" si="17"/>
        <v>0.79166666666424135</v>
      </c>
      <c r="BA39" s="12" t="b">
        <f t="shared" si="25"/>
        <v>1</v>
      </c>
      <c r="BB39" s="8" t="b">
        <f t="shared" si="26"/>
        <v>0</v>
      </c>
      <c r="BC39" s="51" t="b">
        <f t="shared" si="27"/>
        <v>0</v>
      </c>
      <c r="BD39" s="12">
        <f t="shared" si="28"/>
        <v>0</v>
      </c>
      <c r="BE39" s="8">
        <f t="shared" si="29"/>
        <v>0</v>
      </c>
      <c r="BF39" s="12">
        <f t="shared" si="30"/>
        <v>0</v>
      </c>
      <c r="BG39" s="51">
        <f t="shared" si="31"/>
        <v>0</v>
      </c>
      <c r="BH39" s="13">
        <f t="shared" si="32"/>
        <v>0</v>
      </c>
    </row>
    <row r="40" spans="1:60" ht="33" customHeight="1" thickBot="1" x14ac:dyDescent="0.2">
      <c r="B40" s="141">
        <f>B39+1</f>
        <v>41045</v>
      </c>
      <c r="C40" s="142"/>
      <c r="D40" s="73" t="str">
        <f t="shared" si="18"/>
        <v>Wed</v>
      </c>
      <c r="E40" s="143"/>
      <c r="F40" s="144"/>
      <c r="G40" s="145"/>
      <c r="H40" s="146"/>
      <c r="I40" s="52"/>
      <c r="J40" s="53"/>
      <c r="K40" s="40"/>
      <c r="L40" s="41"/>
      <c r="M40" s="54" t="str">
        <f t="shared" si="1"/>
        <v/>
      </c>
      <c r="N40" s="55" t="str">
        <f t="shared" si="2"/>
        <v/>
      </c>
      <c r="O40" s="52"/>
      <c r="P40" s="53"/>
      <c r="Q40" s="54" t="str">
        <f>IF(OR(M40="",N40=""),"",HOUR(AT40)+DAY(AT40)*24)</f>
        <v/>
      </c>
      <c r="R40" s="55" t="str">
        <f>IF(OR(M40="",N40=""),"",MINUTE(AT40))</f>
        <v/>
      </c>
      <c r="S40" s="54"/>
      <c r="T40" s="55" t="str">
        <f t="shared" si="19"/>
        <v/>
      </c>
      <c r="U40" s="54" t="str">
        <f>IF(AND(WEEKDAY(B40)&lt;&gt;1,AM40,AW40&gt;0),HOUR(AW40),"")</f>
        <v/>
      </c>
      <c r="V40" s="55" t="str">
        <f t="shared" si="6"/>
        <v/>
      </c>
      <c r="W40" s="54" t="str">
        <f t="shared" si="7"/>
        <v/>
      </c>
      <c r="X40" s="55" t="str">
        <f t="shared" si="8"/>
        <v/>
      </c>
      <c r="Y40" s="54" t="str">
        <f t="shared" si="9"/>
        <v/>
      </c>
      <c r="Z40" s="55" t="str">
        <f t="shared" si="10"/>
        <v/>
      </c>
      <c r="AA40" s="147"/>
      <c r="AB40" s="147"/>
      <c r="AC40" s="147"/>
      <c r="AD40" s="147"/>
      <c r="AE40" s="148"/>
      <c r="AF40" s="29"/>
      <c r="AG40" s="29"/>
      <c r="AH40" s="8"/>
      <c r="AI40" s="29"/>
      <c r="AJ40" s="29"/>
      <c r="AK40" s="29"/>
      <c r="AL40" s="44"/>
      <c r="AM40" s="56" t="b">
        <f>IF(OR(DAY(B40)&gt;15, I40="",J40="",K40="",L40=""),FALSE,TRUE)</f>
        <v>0</v>
      </c>
      <c r="AN40" s="57">
        <f t="shared" si="21"/>
        <v>41045.208333333336</v>
      </c>
      <c r="AO40" s="71">
        <f t="shared" si="22"/>
        <v>41045.916666666664</v>
      </c>
      <c r="AP40" s="58">
        <f t="shared" si="23"/>
        <v>41046.208333333336</v>
      </c>
      <c r="AQ40" s="59">
        <f t="shared" si="34"/>
        <v>41045</v>
      </c>
      <c r="AR40" s="60">
        <f t="shared" si="11"/>
        <v>41046</v>
      </c>
      <c r="AS40" s="60">
        <f t="shared" si="35"/>
        <v>1</v>
      </c>
      <c r="AT40" s="61">
        <f t="shared" si="36"/>
        <v>1</v>
      </c>
      <c r="AU40" s="59">
        <f t="shared" si="13"/>
        <v>0.20833333333575865</v>
      </c>
      <c r="AV40" s="60">
        <f t="shared" si="37"/>
        <v>8.3333333335758653E-2</v>
      </c>
      <c r="AW40" s="61">
        <f t="shared" si="15"/>
        <v>0.29166666667151731</v>
      </c>
      <c r="AX40" s="59">
        <f t="shared" si="16"/>
        <v>41045.208333333336</v>
      </c>
      <c r="AY40" s="60">
        <f t="shared" si="24"/>
        <v>41046</v>
      </c>
      <c r="AZ40" s="61">
        <f t="shared" si="17"/>
        <v>0.79166666666424135</v>
      </c>
      <c r="BA40" s="19" t="b">
        <f t="shared" si="25"/>
        <v>1</v>
      </c>
      <c r="BB40" s="62" t="b">
        <f t="shared" si="26"/>
        <v>0</v>
      </c>
      <c r="BC40" s="63" t="b">
        <f t="shared" si="27"/>
        <v>0</v>
      </c>
      <c r="BD40" s="19">
        <f t="shared" si="28"/>
        <v>0</v>
      </c>
      <c r="BE40" s="62">
        <f t="shared" si="29"/>
        <v>0</v>
      </c>
      <c r="BF40" s="19">
        <f t="shared" si="30"/>
        <v>0</v>
      </c>
      <c r="BG40" s="63">
        <f t="shared" si="31"/>
        <v>0</v>
      </c>
      <c r="BH40" s="17">
        <f t="shared" si="32"/>
        <v>0</v>
      </c>
    </row>
    <row r="41" spans="1:60" s="68" customFormat="1" ht="33" customHeight="1" thickTop="1" thickBot="1" x14ac:dyDescent="0.2">
      <c r="A41" s="1"/>
      <c r="B41" s="138" t="s">
        <v>27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40"/>
      <c r="Q41" s="64">
        <f>SUM(Q10:Q40)+ROUNDDOWN(SUM(R10:R40)/60,0)</f>
        <v>53</v>
      </c>
      <c r="R41" s="65">
        <f>MOD(SUM(R10:R40),60)</f>
        <v>50</v>
      </c>
      <c r="S41" s="64">
        <f>Q41+SUM(BH:BH)</f>
        <v>59</v>
      </c>
      <c r="T41" s="65">
        <f>R41</f>
        <v>50</v>
      </c>
      <c r="U41" s="64">
        <f>SUM(U10:U40)+ROUNDDOWN(SUM(V10:V40)/60,0)</f>
        <v>0</v>
      </c>
      <c r="V41" s="65">
        <f>MOD(SUM(V10:V40),60)</f>
        <v>0</v>
      </c>
      <c r="W41" s="64">
        <f>SUM(W10:W40)+ROUNDDOWN(SUM(X10:X40)/60,0)</f>
        <v>0</v>
      </c>
      <c r="X41" s="65">
        <f>MOD(SUM(X10:X40),60)</f>
        <v>0</v>
      </c>
      <c r="Y41" s="64">
        <f>SUM(Y10:Y40)+ROUNDDOWN(SUM(Z10:Z40)/60,0)</f>
        <v>0</v>
      </c>
      <c r="Z41" s="65">
        <f>MOD(SUM(Z10:Z40),60)</f>
        <v>0</v>
      </c>
      <c r="AA41" s="66"/>
      <c r="AB41" s="66"/>
      <c r="AC41" s="66"/>
      <c r="AD41" s="66"/>
      <c r="AE41" s="67"/>
      <c r="AF41" s="8"/>
      <c r="AG41" s="8"/>
      <c r="AH41" s="1"/>
      <c r="AI41" s="29"/>
      <c r="AJ41" s="29"/>
      <c r="AK41" s="1"/>
      <c r="AL41" s="2"/>
      <c r="AO41" s="44"/>
      <c r="AP41" s="44"/>
    </row>
    <row r="42" spans="1:60" ht="24.95" customHeight="1" x14ac:dyDescent="0.15">
      <c r="AI42" s="8"/>
      <c r="AJ42" s="8"/>
    </row>
    <row r="43" spans="1:60" ht="24.95" customHeight="1" x14ac:dyDescent="0.15">
      <c r="AI43" s="8"/>
      <c r="AJ43" s="8"/>
    </row>
    <row r="44" spans="1:60" ht="24.95" customHeight="1" x14ac:dyDescent="0.15">
      <c r="B44" s="1" t="s">
        <v>28</v>
      </c>
      <c r="C44" s="1" t="s">
        <v>29</v>
      </c>
      <c r="D44" s="1" t="s">
        <v>30</v>
      </c>
    </row>
    <row r="45" spans="1:60" ht="24.95" customHeight="1" x14ac:dyDescent="0.15">
      <c r="D45" s="1" t="s">
        <v>31</v>
      </c>
      <c r="O45" s="1" t="s">
        <v>32</v>
      </c>
      <c r="AI45" s="2"/>
      <c r="AL45" s="1"/>
    </row>
    <row r="46" spans="1:60" ht="24.95" customHeight="1" x14ac:dyDescent="0.15">
      <c r="D46" s="1" t="s">
        <v>33</v>
      </c>
    </row>
    <row r="47" spans="1:60" ht="24.95" customHeight="1" x14ac:dyDescent="0.15">
      <c r="D47" s="1" t="s">
        <v>34</v>
      </c>
    </row>
    <row r="49" spans="2:4" ht="24.95" customHeight="1" x14ac:dyDescent="0.15">
      <c r="C49" s="1" t="s">
        <v>35</v>
      </c>
      <c r="D49" s="1" t="s">
        <v>36</v>
      </c>
    </row>
    <row r="50" spans="2:4" ht="24.95" customHeight="1" x14ac:dyDescent="0.15">
      <c r="C50" s="1" t="s">
        <v>37</v>
      </c>
      <c r="D50" s="1" t="s">
        <v>38</v>
      </c>
    </row>
    <row r="52" spans="2:4" ht="24.95" customHeight="1" x14ac:dyDescent="0.15">
      <c r="B52" s="1" t="s">
        <v>39</v>
      </c>
    </row>
  </sheetData>
  <protectedRanges>
    <protectedRange sqref="AA10:AE40" name="備考"/>
    <protectedRange sqref="S10:S40" name="有休時間"/>
    <protectedRange sqref="O10:P40" name="休憩時間"/>
    <protectedRange sqref="I10:L40" name="就業時間"/>
    <protectedRange sqref="G10:H40" name="休出選択"/>
    <protectedRange sqref="E10:F40" name="休暇選択"/>
    <protectedRange sqref="G3:T6" name="氏名"/>
    <protectedRange sqref="H2:I2 K2" name="年月"/>
  </protectedRanges>
  <mergeCells count="166">
    <mergeCell ref="B41:P41"/>
    <mergeCell ref="B39:C39"/>
    <mergeCell ref="E39:F39"/>
    <mergeCell ref="G39:H39"/>
    <mergeCell ref="AA39:AE39"/>
    <mergeCell ref="B40:C40"/>
    <mergeCell ref="E40:F40"/>
    <mergeCell ref="G40:H40"/>
    <mergeCell ref="AA40:AE40"/>
    <mergeCell ref="B37:C37"/>
    <mergeCell ref="E37:F37"/>
    <mergeCell ref="G37:H37"/>
    <mergeCell ref="AA37:AE37"/>
    <mergeCell ref="B38:C38"/>
    <mergeCell ref="E38:F38"/>
    <mergeCell ref="G38:H38"/>
    <mergeCell ref="AA38:AE38"/>
    <mergeCell ref="B35:C35"/>
    <mergeCell ref="E35:F35"/>
    <mergeCell ref="G35:H35"/>
    <mergeCell ref="AA35:AE35"/>
    <mergeCell ref="B36:C36"/>
    <mergeCell ref="E36:F36"/>
    <mergeCell ref="G36:H36"/>
    <mergeCell ref="AA36:AE36"/>
    <mergeCell ref="B33:C33"/>
    <mergeCell ref="E33:F33"/>
    <mergeCell ref="G33:H33"/>
    <mergeCell ref="AA33:AE33"/>
    <mergeCell ref="B34:C34"/>
    <mergeCell ref="E34:F34"/>
    <mergeCell ref="G34:H34"/>
    <mergeCell ref="AA34:AE34"/>
    <mergeCell ref="B31:C31"/>
    <mergeCell ref="E31:F31"/>
    <mergeCell ref="G31:H31"/>
    <mergeCell ref="AA31:AE31"/>
    <mergeCell ref="B32:C32"/>
    <mergeCell ref="E32:F32"/>
    <mergeCell ref="G32:H32"/>
    <mergeCell ref="AA32:AE32"/>
    <mergeCell ref="B29:C29"/>
    <mergeCell ref="E29:F29"/>
    <mergeCell ref="G29:H29"/>
    <mergeCell ref="AA29:AE29"/>
    <mergeCell ref="B30:C30"/>
    <mergeCell ref="E30:F30"/>
    <mergeCell ref="G30:H30"/>
    <mergeCell ref="AA30:AE30"/>
    <mergeCell ref="B27:C27"/>
    <mergeCell ref="E27:F27"/>
    <mergeCell ref="G27:H27"/>
    <mergeCell ref="AA27:AE27"/>
    <mergeCell ref="B28:C28"/>
    <mergeCell ref="E28:F28"/>
    <mergeCell ref="G28:H28"/>
    <mergeCell ref="AA28:AE28"/>
    <mergeCell ref="B25:C25"/>
    <mergeCell ref="E25:F25"/>
    <mergeCell ref="G25:H25"/>
    <mergeCell ref="AA25:AE25"/>
    <mergeCell ref="B26:C26"/>
    <mergeCell ref="E26:F26"/>
    <mergeCell ref="G26:H26"/>
    <mergeCell ref="AA26:AE26"/>
    <mergeCell ref="B23:C23"/>
    <mergeCell ref="E23:F23"/>
    <mergeCell ref="G23:H23"/>
    <mergeCell ref="AA23:AE23"/>
    <mergeCell ref="B24:C24"/>
    <mergeCell ref="E24:F24"/>
    <mergeCell ref="G24:H24"/>
    <mergeCell ref="AA24:AE24"/>
    <mergeCell ref="B21:C21"/>
    <mergeCell ref="E21:F21"/>
    <mergeCell ref="G21:H21"/>
    <mergeCell ref="AA21:AE21"/>
    <mergeCell ref="B22:C22"/>
    <mergeCell ref="E22:F22"/>
    <mergeCell ref="G22:H22"/>
    <mergeCell ref="AA22:AE22"/>
    <mergeCell ref="B19:C19"/>
    <mergeCell ref="E19:F19"/>
    <mergeCell ref="G19:H19"/>
    <mergeCell ref="AA19:AE19"/>
    <mergeCell ref="B20:C20"/>
    <mergeCell ref="E20:F20"/>
    <mergeCell ref="G20:H20"/>
    <mergeCell ref="AA20:AE20"/>
    <mergeCell ref="B17:C17"/>
    <mergeCell ref="E17:F17"/>
    <mergeCell ref="G17:H17"/>
    <mergeCell ref="AA17:AE17"/>
    <mergeCell ref="B18:C18"/>
    <mergeCell ref="E18:F18"/>
    <mergeCell ref="G18:H18"/>
    <mergeCell ref="AA18:AE18"/>
    <mergeCell ref="B15:C15"/>
    <mergeCell ref="E15:F15"/>
    <mergeCell ref="G15:H15"/>
    <mergeCell ref="AA15:AE15"/>
    <mergeCell ref="B16:C16"/>
    <mergeCell ref="E16:F16"/>
    <mergeCell ref="G16:H16"/>
    <mergeCell ref="AA16:AE16"/>
    <mergeCell ref="B10:C10"/>
    <mergeCell ref="E10:F10"/>
    <mergeCell ref="G10:H10"/>
    <mergeCell ref="AA10:AE10"/>
    <mergeCell ref="B13:C13"/>
    <mergeCell ref="E13:F13"/>
    <mergeCell ref="G13:H13"/>
    <mergeCell ref="AA13:AE13"/>
    <mergeCell ref="B14:C14"/>
    <mergeCell ref="E14:F14"/>
    <mergeCell ref="G14:H14"/>
    <mergeCell ref="AA14:AE14"/>
    <mergeCell ref="B11:C11"/>
    <mergeCell ref="E11:F11"/>
    <mergeCell ref="G11:H11"/>
    <mergeCell ref="AA11:AE11"/>
    <mergeCell ref="B12:C12"/>
    <mergeCell ref="E12:F12"/>
    <mergeCell ref="G12:H12"/>
    <mergeCell ref="AA12:AE12"/>
    <mergeCell ref="AB7:AC7"/>
    <mergeCell ref="AD7:AE7"/>
    <mergeCell ref="B9:D9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E9"/>
    <mergeCell ref="B6:F6"/>
    <mergeCell ref="G6:T6"/>
    <mergeCell ref="X6:Y6"/>
    <mergeCell ref="Z6:AA6"/>
    <mergeCell ref="AB6:AC6"/>
    <mergeCell ref="AD6:AE6"/>
    <mergeCell ref="B5:F5"/>
    <mergeCell ref="G5:T5"/>
    <mergeCell ref="X5:Y5"/>
    <mergeCell ref="Z5:AA5"/>
    <mergeCell ref="AB5:AC5"/>
    <mergeCell ref="AD5:AE5"/>
    <mergeCell ref="AB3:AC3"/>
    <mergeCell ref="AD3:AE3"/>
    <mergeCell ref="B4:F4"/>
    <mergeCell ref="G4:T4"/>
    <mergeCell ref="X4:Y4"/>
    <mergeCell ref="Z4:AA4"/>
    <mergeCell ref="AB4:AC4"/>
    <mergeCell ref="AD4:AE4"/>
    <mergeCell ref="H2:I2"/>
    <mergeCell ref="L2:M2"/>
    <mergeCell ref="B3:F3"/>
    <mergeCell ref="G3:T3"/>
    <mergeCell ref="X3:Y3"/>
    <mergeCell ref="Z3:AA3"/>
  </mergeCells>
  <phoneticPr fontId="7"/>
  <conditionalFormatting sqref="B5:T6">
    <cfRule type="expression" dxfId="100" priority="98" stopIfTrue="1">
      <formula>$G$3&lt;&gt;$AH$2</formula>
    </cfRule>
  </conditionalFormatting>
  <conditionalFormatting sqref="B10:AE10">
    <cfRule type="expression" dxfId="99" priority="95" stopIfTrue="1">
      <formula>$BC$10</formula>
    </cfRule>
    <cfRule type="expression" dxfId="98" priority="96" stopIfTrue="1">
      <formula>$D$10="土"</formula>
    </cfRule>
    <cfRule type="expression" dxfId="97" priority="97" stopIfTrue="1">
      <formula>$D$10="日"</formula>
    </cfRule>
  </conditionalFormatting>
  <conditionalFormatting sqref="B11:AE11">
    <cfRule type="expression" dxfId="96" priority="92" stopIfTrue="1">
      <formula>$BC$11</formula>
    </cfRule>
    <cfRule type="expression" dxfId="95" priority="93" stopIfTrue="1">
      <formula>$D$11="土"</formula>
    </cfRule>
    <cfRule type="expression" dxfId="94" priority="94" stopIfTrue="1">
      <formula>$D$11="日"</formula>
    </cfRule>
  </conditionalFormatting>
  <conditionalFormatting sqref="B12:AE12">
    <cfRule type="expression" dxfId="93" priority="89" stopIfTrue="1">
      <formula>$BC$12</formula>
    </cfRule>
    <cfRule type="expression" dxfId="92" priority="90" stopIfTrue="1">
      <formula>$D$12="土"</formula>
    </cfRule>
    <cfRule type="expression" dxfId="91" priority="91" stopIfTrue="1">
      <formula>$D$12="日"</formula>
    </cfRule>
  </conditionalFormatting>
  <conditionalFormatting sqref="B13:AE13">
    <cfRule type="expression" dxfId="90" priority="86" stopIfTrue="1">
      <formula>$BC$13</formula>
    </cfRule>
    <cfRule type="expression" dxfId="89" priority="87" stopIfTrue="1">
      <formula>$D$13="土"</formula>
    </cfRule>
    <cfRule type="expression" dxfId="88" priority="88" stopIfTrue="1">
      <formula>$D$13="日"</formula>
    </cfRule>
  </conditionalFormatting>
  <conditionalFormatting sqref="B14:AE14">
    <cfRule type="expression" dxfId="87" priority="83" stopIfTrue="1">
      <formula>$BC$14</formula>
    </cfRule>
    <cfRule type="expression" dxfId="86" priority="84" stopIfTrue="1">
      <formula>$D$14="土"</formula>
    </cfRule>
    <cfRule type="expression" dxfId="85" priority="85" stopIfTrue="1">
      <formula>$D$14="日"</formula>
    </cfRule>
  </conditionalFormatting>
  <conditionalFormatting sqref="B15:AE15">
    <cfRule type="expression" dxfId="84" priority="80" stopIfTrue="1">
      <formula>$BC$15</formula>
    </cfRule>
    <cfRule type="expression" dxfId="83" priority="81" stopIfTrue="1">
      <formula>$D$15="土"</formula>
    </cfRule>
    <cfRule type="expression" dxfId="82" priority="82" stopIfTrue="1">
      <formula>$D$15="日"</formula>
    </cfRule>
  </conditionalFormatting>
  <conditionalFormatting sqref="B16:AE16">
    <cfRule type="expression" dxfId="81" priority="77" stopIfTrue="1">
      <formula>$BC$16</formula>
    </cfRule>
    <cfRule type="expression" dxfId="80" priority="78" stopIfTrue="1">
      <formula>$D$16="土"</formula>
    </cfRule>
    <cfRule type="expression" dxfId="79" priority="79" stopIfTrue="1">
      <formula>$D$16="日"</formula>
    </cfRule>
  </conditionalFormatting>
  <conditionalFormatting sqref="B17:AE17">
    <cfRule type="expression" dxfId="78" priority="74" stopIfTrue="1">
      <formula>$BC$17</formula>
    </cfRule>
    <cfRule type="expression" dxfId="77" priority="75" stopIfTrue="1">
      <formula>$D$17="土"</formula>
    </cfRule>
    <cfRule type="expression" dxfId="76" priority="76" stopIfTrue="1">
      <formula>$D$17="日"</formula>
    </cfRule>
  </conditionalFormatting>
  <conditionalFormatting sqref="B18:AE18">
    <cfRule type="expression" dxfId="75" priority="71" stopIfTrue="1">
      <formula>$BC$18</formula>
    </cfRule>
    <cfRule type="expression" dxfId="74" priority="72" stopIfTrue="1">
      <formula>$D$18="土"</formula>
    </cfRule>
    <cfRule type="expression" dxfId="73" priority="73" stopIfTrue="1">
      <formula>$D$18="日"</formula>
    </cfRule>
  </conditionalFormatting>
  <conditionalFormatting sqref="B19:AE19">
    <cfRule type="expression" dxfId="72" priority="68" stopIfTrue="1">
      <formula>$BC$19</formula>
    </cfRule>
    <cfRule type="expression" dxfId="71" priority="69" stopIfTrue="1">
      <formula>$D$19="土"</formula>
    </cfRule>
    <cfRule type="expression" dxfId="70" priority="70" stopIfTrue="1">
      <formula>$D$19="日"</formula>
    </cfRule>
  </conditionalFormatting>
  <conditionalFormatting sqref="B20:AE20">
    <cfRule type="expression" dxfId="69" priority="65" stopIfTrue="1">
      <formula>$BC$20</formula>
    </cfRule>
    <cfRule type="expression" dxfId="68" priority="66" stopIfTrue="1">
      <formula>$D$20="土"</formula>
    </cfRule>
    <cfRule type="expression" dxfId="67" priority="67" stopIfTrue="1">
      <formula>$D$20="日"</formula>
    </cfRule>
  </conditionalFormatting>
  <conditionalFormatting sqref="B21:AE21">
    <cfRule type="expression" dxfId="66" priority="62" stopIfTrue="1">
      <formula>$BC$21</formula>
    </cfRule>
    <cfRule type="expression" dxfId="65" priority="63" stopIfTrue="1">
      <formula>$D$21="土"</formula>
    </cfRule>
    <cfRule type="expression" dxfId="64" priority="64" stopIfTrue="1">
      <formula>$D$21="日"</formula>
    </cfRule>
  </conditionalFormatting>
  <conditionalFormatting sqref="B22:AE22">
    <cfRule type="expression" dxfId="63" priority="59" stopIfTrue="1">
      <formula>$BC$22</formula>
    </cfRule>
    <cfRule type="expression" dxfId="62" priority="60" stopIfTrue="1">
      <formula>$D$22="土"</formula>
    </cfRule>
    <cfRule type="expression" dxfId="61" priority="61" stopIfTrue="1">
      <formula>$D$22="日"</formula>
    </cfRule>
  </conditionalFormatting>
  <conditionalFormatting sqref="B23:AE23">
    <cfRule type="expression" dxfId="60" priority="56" stopIfTrue="1">
      <formula>$BC$23</formula>
    </cfRule>
    <cfRule type="expression" dxfId="59" priority="57" stopIfTrue="1">
      <formula>$D$23="土"</formula>
    </cfRule>
    <cfRule type="expression" dxfId="58" priority="58" stopIfTrue="1">
      <formula>$D$23="日"</formula>
    </cfRule>
  </conditionalFormatting>
  <conditionalFormatting sqref="B24:AE24">
    <cfRule type="expression" dxfId="57" priority="53" stopIfTrue="1">
      <formula>$BC$24</formula>
    </cfRule>
    <cfRule type="expression" dxfId="56" priority="54" stopIfTrue="1">
      <formula>$D$24="土"</formula>
    </cfRule>
    <cfRule type="expression" dxfId="55" priority="55" stopIfTrue="1">
      <formula>$D$24="日"</formula>
    </cfRule>
  </conditionalFormatting>
  <conditionalFormatting sqref="B25:AE25">
    <cfRule type="expression" dxfId="54" priority="50" stopIfTrue="1">
      <formula>$BC$25</formula>
    </cfRule>
    <cfRule type="expression" dxfId="53" priority="51" stopIfTrue="1">
      <formula>$D$25="土"</formula>
    </cfRule>
    <cfRule type="expression" dxfId="52" priority="52" stopIfTrue="1">
      <formula>$D$25="日"</formula>
    </cfRule>
  </conditionalFormatting>
  <conditionalFormatting sqref="B26:AE26">
    <cfRule type="expression" dxfId="51" priority="47" stopIfTrue="1">
      <formula>$BC$26</formula>
    </cfRule>
    <cfRule type="expression" dxfId="50" priority="48" stopIfTrue="1">
      <formula>$D$26="土"</formula>
    </cfRule>
    <cfRule type="expression" dxfId="49" priority="49" stopIfTrue="1">
      <formula>$D$26="日"</formula>
    </cfRule>
  </conditionalFormatting>
  <conditionalFormatting sqref="B27:AE27">
    <cfRule type="expression" dxfId="48" priority="44" stopIfTrue="1">
      <formula>$BC$27</formula>
    </cfRule>
    <cfRule type="expression" dxfId="47" priority="45" stopIfTrue="1">
      <formula>$D$27="土"</formula>
    </cfRule>
    <cfRule type="expression" dxfId="46" priority="46" stopIfTrue="1">
      <formula>$D$27="日"</formula>
    </cfRule>
  </conditionalFormatting>
  <conditionalFormatting sqref="B28:AE28">
    <cfRule type="expression" dxfId="45" priority="41" stopIfTrue="1">
      <formula>$BC$28</formula>
    </cfRule>
    <cfRule type="expression" dxfId="44" priority="42" stopIfTrue="1">
      <formula>$D$28="土"</formula>
    </cfRule>
    <cfRule type="expression" dxfId="43" priority="43" stopIfTrue="1">
      <formula>$D$28="日"</formula>
    </cfRule>
  </conditionalFormatting>
  <conditionalFormatting sqref="B29:AE29">
    <cfRule type="expression" dxfId="42" priority="38" stopIfTrue="1">
      <formula>$BC$29</formula>
    </cfRule>
    <cfRule type="expression" dxfId="41" priority="39" stopIfTrue="1">
      <formula>$D$29="土"</formula>
    </cfRule>
    <cfRule type="expression" dxfId="40" priority="40" stopIfTrue="1">
      <formula>$D$29="日"</formula>
    </cfRule>
  </conditionalFormatting>
  <conditionalFormatting sqref="B30:AE30">
    <cfRule type="expression" dxfId="39" priority="35" stopIfTrue="1">
      <formula>$BC$30</formula>
    </cfRule>
    <cfRule type="expression" dxfId="38" priority="36" stopIfTrue="1">
      <formula>$D$30="土"</formula>
    </cfRule>
    <cfRule type="expression" dxfId="37" priority="37" stopIfTrue="1">
      <formula>$D$30="日"</formula>
    </cfRule>
  </conditionalFormatting>
  <conditionalFormatting sqref="B31:AE31">
    <cfRule type="expression" dxfId="36" priority="32" stopIfTrue="1">
      <formula>$BC$31</formula>
    </cfRule>
    <cfRule type="expression" dxfId="35" priority="33" stopIfTrue="1">
      <formula>$D$31="土"</formula>
    </cfRule>
    <cfRule type="expression" dxfId="34" priority="34" stopIfTrue="1">
      <formula>$D$31="日"</formula>
    </cfRule>
  </conditionalFormatting>
  <conditionalFormatting sqref="B32:AE32">
    <cfRule type="expression" dxfId="33" priority="29" stopIfTrue="1">
      <formula>$BC$32</formula>
    </cfRule>
    <cfRule type="expression" dxfId="32" priority="30" stopIfTrue="1">
      <formula>$D$32="土"</formula>
    </cfRule>
    <cfRule type="expression" dxfId="31" priority="31" stopIfTrue="1">
      <formula>$D$32="日"</formula>
    </cfRule>
  </conditionalFormatting>
  <conditionalFormatting sqref="B33:AE33">
    <cfRule type="expression" dxfId="30" priority="26" stopIfTrue="1">
      <formula>$BC$33</formula>
    </cfRule>
    <cfRule type="expression" dxfId="29" priority="27" stopIfTrue="1">
      <formula>$D$33="土"</formula>
    </cfRule>
    <cfRule type="expression" dxfId="28" priority="28" stopIfTrue="1">
      <formula>$D$33="日"</formula>
    </cfRule>
  </conditionalFormatting>
  <conditionalFormatting sqref="B34:AE34">
    <cfRule type="expression" dxfId="27" priority="23" stopIfTrue="1">
      <formula>$BC$34</formula>
    </cfRule>
    <cfRule type="expression" dxfId="26" priority="24" stopIfTrue="1">
      <formula>$D$34="土"</formula>
    </cfRule>
    <cfRule type="expression" dxfId="25" priority="25" stopIfTrue="1">
      <formula>$D$34="日"</formula>
    </cfRule>
  </conditionalFormatting>
  <conditionalFormatting sqref="B35:AE35">
    <cfRule type="expression" dxfId="24" priority="20" stopIfTrue="1">
      <formula>$BC$35</formula>
    </cfRule>
    <cfRule type="expression" dxfId="23" priority="21" stopIfTrue="1">
      <formula>$D$35="土"</formula>
    </cfRule>
    <cfRule type="expression" dxfId="22" priority="22" stopIfTrue="1">
      <formula>$D$35="日"</formula>
    </cfRule>
  </conditionalFormatting>
  <conditionalFormatting sqref="B36:AE36">
    <cfRule type="expression" dxfId="21" priority="17" stopIfTrue="1">
      <formula>$BC$36</formula>
    </cfRule>
    <cfRule type="expression" dxfId="20" priority="18" stopIfTrue="1">
      <formula>$D$36="土"</formula>
    </cfRule>
    <cfRule type="expression" dxfId="19" priority="19" stopIfTrue="1">
      <formula>$D$36="日"</formula>
    </cfRule>
  </conditionalFormatting>
  <conditionalFormatting sqref="B37:AE37">
    <cfRule type="expression" dxfId="18" priority="14" stopIfTrue="1">
      <formula>$BC$37</formula>
    </cfRule>
    <cfRule type="expression" dxfId="17" priority="15" stopIfTrue="1">
      <formula>$D$37="土"</formula>
    </cfRule>
    <cfRule type="expression" dxfId="16" priority="16" stopIfTrue="1">
      <formula>$D$37="日"</formula>
    </cfRule>
  </conditionalFormatting>
  <conditionalFormatting sqref="B38:AE38">
    <cfRule type="expression" dxfId="15" priority="10" stopIfTrue="1">
      <formula>DAY($B$38)&gt;15</formula>
    </cfRule>
    <cfRule type="expression" dxfId="14" priority="11" stopIfTrue="1">
      <formula>$BC$38</formula>
    </cfRule>
    <cfRule type="expression" dxfId="13" priority="12" stopIfTrue="1">
      <formula>$D$38="土"</formula>
    </cfRule>
    <cfRule type="expression" dxfId="12" priority="13" stopIfTrue="1">
      <formula>$D$38="日"</formula>
    </cfRule>
  </conditionalFormatting>
  <conditionalFormatting sqref="B39:AE39">
    <cfRule type="expression" dxfId="11" priority="6" stopIfTrue="1">
      <formula>DAY($B$39)&gt;15</formula>
    </cfRule>
    <cfRule type="expression" dxfId="10" priority="7" stopIfTrue="1">
      <formula>$BC$39</formula>
    </cfRule>
    <cfRule type="expression" dxfId="9" priority="8" stopIfTrue="1">
      <formula>$D$39="土"</formula>
    </cfRule>
    <cfRule type="expression" dxfId="8" priority="9" stopIfTrue="1">
      <formula>$D$39="日"</formula>
    </cfRule>
  </conditionalFormatting>
  <conditionalFormatting sqref="B40:AE40">
    <cfRule type="expression" dxfId="7" priority="2" stopIfTrue="1">
      <formula>DAY($B$40)&gt;15</formula>
    </cfRule>
    <cfRule type="expression" dxfId="6" priority="3" stopIfTrue="1">
      <formula>$BC$40</formula>
    </cfRule>
    <cfRule type="expression" dxfId="5" priority="4" stopIfTrue="1">
      <formula>$D$40="土"</formula>
    </cfRule>
    <cfRule type="expression" dxfId="4" priority="5" stopIfTrue="1">
      <formula>$D$40="日"</formula>
    </cfRule>
  </conditionalFormatting>
  <conditionalFormatting sqref="G5:T6">
    <cfRule type="expression" dxfId="3" priority="1" stopIfTrue="1">
      <formula>$G$3&lt;&gt;$AH$2</formula>
    </cfRule>
  </conditionalFormatting>
  <dataValidations count="8">
    <dataValidation type="whole" allowBlank="1" showInputMessage="1" showErrorMessage="1" sqref="K2">
      <formula1>1</formula1>
      <formula2>12</formula2>
    </dataValidation>
    <dataValidation type="whole" allowBlank="1" showInputMessage="1" showErrorMessage="1" sqref="O10:O40">
      <formula1>0</formula1>
      <formula2>8</formula2>
    </dataValidation>
    <dataValidation type="whole" allowBlank="1" showInputMessage="1" showErrorMessage="1" sqref="I10:I40 K10:K40">
      <formula1>0</formula1>
      <formula2>30</formula2>
    </dataValidation>
    <dataValidation type="whole" allowBlank="1" showInputMessage="1" showErrorMessage="1" sqref="S10:S40">
      <formula1>1</formula1>
      <formula2>8</formula2>
    </dataValidation>
    <dataValidation type="list" allowBlank="1" showInputMessage="1" showErrorMessage="1" sqref="E10:F40">
      <formula1>$AI$2:$AI$9</formula1>
    </dataValidation>
    <dataValidation type="list" allowBlank="1" showInputMessage="1" showErrorMessage="1" error="0分から50分までを10分単位で入力してください。" sqref="J10:J40 L10:L40 P10:P40">
      <formula1>"00,10,20,30,40,50"</formula1>
    </dataValidation>
    <dataValidation type="list" allowBlank="1" showInputMessage="1" showErrorMessage="1" sqref="G3">
      <formula1>$AH$2:$AH$4</formula1>
    </dataValidation>
    <dataValidation type="list" allowBlank="1" showInputMessage="1" showErrorMessage="1" sqref="G10:G40 H10">
      <formula1>$AK$2:$AK$4</formula1>
    </dataValidation>
  </dataValidations>
  <pageMargins left="0.70866141732283472" right="0.70866141732283472" top="0.74803149606299213" bottom="0.74803149606299213" header="0.31496062992125984" footer="0.31496062992125984"/>
  <pageSetup paperSize="9" scale="49" orientation="portrait" r:id="rId1"/>
  <colBreaks count="1" manualBreakCount="1">
    <brk id="36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2012年05月度</vt:lpstr>
      <vt:lpstr>説明書</vt:lpstr>
      <vt:lpstr>'2012年05月度'!Print_Area</vt:lpstr>
      <vt:lpstr>説明書!Print_Area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higra-shi</dc:creator>
  <cp:lastModifiedBy>k-kikuchi</cp:lastModifiedBy>
  <dcterms:created xsi:type="dcterms:W3CDTF">2008-12-15T21:35:14Z</dcterms:created>
  <dcterms:modified xsi:type="dcterms:W3CDTF">2015-08-14T12:03:47Z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abd0e495-4ada-4b1a-9da1-8dcc87c97aac</vt:lpwstr>
  </property>
</Properties>
</file>